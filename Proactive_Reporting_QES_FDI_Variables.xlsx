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ES Calculations" sheetId="1" state="visible" r:id="rId1"/>
    <sheet name="QES Comparisons" sheetId="2" state="visible" r:id="rId2"/>
    <sheet name="FDI Calculations" sheetId="3" state="visible" r:id="rId3"/>
    <sheet name="FDI Comparisons" sheetId="4" state="visible" r:id="rId4"/>
    <sheet name="QES upload layout (dummy)" sheetId="5" state="visible" r:id="rId5"/>
    <sheet name="FDI upload layout (dummy)" sheetId="6" state="visible" r:id="rId6"/>
  </sheets>
  <definedNames>
    <definedName name="_xlnm._FilterDatabase" localSheetId="0" hidden="1">'QES Calculations'!$A$1:$G$43</definedName>
    <definedName name="_xlnm._FilterDatabase" localSheetId="1" hidden="1">'QES Comparisons'!$A$1:$G$23</definedName>
    <definedName name="_xlnm._FilterDatabase" localSheetId="2" hidden="1">'FDI Calculations'!$A$1:$G$39</definedName>
    <definedName name="_xlnm._FilterDatabase" localSheetId="3" hidden="1">'FDI Comparisons'!$A$1:$G$19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D61F2C"/>
      </patternFill>
    </fill>
    <fill>
      <patternFill patternType="solid">
        <fgColor rgb="00FDE9E9"/>
      </patternFill>
    </fill>
    <fill>
      <patternFill patternType="solid">
        <fgColor rgb="00F7F7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0" customWidth="1" min="4" max="4"/>
    <col width="24" customWidth="1" min="5" max="5"/>
    <col width="55" customWidth="1" min="6" max="6"/>
    <col width="16" customWidth="1" min="7" max="7"/>
  </cols>
  <sheetData>
    <row r="1" ht="28" customHeight="1">
      <c r="A1" s="1" t="inlineStr">
        <is>
          <t>Variable / Column name</t>
        </is>
      </c>
      <c r="B1" s="1" t="inlineStr">
        <is>
          <t>Category</t>
        </is>
      </c>
      <c r="C1" s="1" t="inlineStr">
        <is>
          <t>Required?</t>
        </is>
      </c>
      <c r="D1" s="1" t="inlineStr">
        <is>
          <t>Data type</t>
        </is>
      </c>
      <c r="E1" s="1" t="inlineStr">
        <is>
          <t>Applies to (business type)</t>
        </is>
      </c>
      <c r="F1" s="1" t="inlineStr">
        <is>
          <t>Description</t>
        </is>
      </c>
      <c r="G1" s="1" t="inlineStr">
        <is>
          <t>Example value</t>
        </is>
      </c>
    </row>
    <row r="2" ht="20" customHeight="1">
      <c r="A2" s="2" t="inlineStr">
        <is>
          <t>Identification &amp; assignment — FRAME_ID and ESTABLISHMENT_NAME once per row; the rest once per quarter, e.g. Q3_2026_ISIC4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FRAME_ID</t>
        </is>
      </c>
      <c r="B3" s="4" t="inlineStr">
        <is>
          <t>Identification</t>
        </is>
      </c>
      <c r="C3" s="4" t="inlineStr">
        <is>
          <t>Required</t>
        </is>
      </c>
      <c r="D3" s="4" t="inlineStr">
        <is>
          <t>Text</t>
        </is>
      </c>
      <c r="E3" s="4" t="inlineStr">
        <is>
          <t>All</t>
        </is>
      </c>
      <c r="F3" s="4" t="inlineStr">
        <is>
          <t>Unique establishment identifier. One row per Frame ID.</t>
        </is>
      </c>
      <c r="G3" s="4" t="inlineStr">
        <is>
          <t>F101</t>
        </is>
      </c>
    </row>
    <row r="4">
      <c r="A4" s="5" t="inlineStr">
        <is>
          <t>ESTABLISHMENT_NAME</t>
        </is>
      </c>
      <c r="B4" s="5" t="inlineStr">
        <is>
          <t>Identification</t>
        </is>
      </c>
      <c r="C4" s="5" t="inlineStr">
        <is>
          <t>Optional</t>
        </is>
      </c>
      <c r="D4" s="5" t="inlineStr">
        <is>
          <t>Text</t>
        </is>
      </c>
      <c r="E4" s="5" t="inlineStr">
        <is>
          <t>All</t>
        </is>
      </c>
      <c r="F4" s="5" t="inlineStr">
        <is>
          <t>Establishment name shown on the record.</t>
        </is>
      </c>
      <c r="G4" s="5" t="inlineStr">
        <is>
          <t>Establishment 1 LLC</t>
        </is>
      </c>
    </row>
    <row r="5">
      <c r="A5" s="4" t="inlineStr">
        <is>
          <t>Licence_Number</t>
        </is>
      </c>
      <c r="B5" s="4" t="inlineStr">
        <is>
          <t>Identification</t>
        </is>
      </c>
      <c r="C5" s="4" t="inlineStr">
        <is>
          <t>Optional</t>
        </is>
      </c>
      <c r="D5" s="4" t="inlineStr">
        <is>
          <t>Text</t>
        </is>
      </c>
      <c r="E5" s="4" t="inlineStr">
        <is>
          <t>All</t>
        </is>
      </c>
      <c r="F5" s="4" t="inlineStr">
        <is>
          <t>Licence number. Searchable from the License Number box; a search combines every Frame ID sharing it, which the Record card lists.</t>
        </is>
      </c>
      <c r="G5" s="4" t="inlineStr">
        <is>
          <t>CN-1000101</t>
        </is>
      </c>
    </row>
    <row r="6">
      <c r="A6" s="5" t="inlineStr">
        <is>
          <t>YEAR / QUARTER</t>
        </is>
      </c>
      <c r="B6" s="5" t="inlineStr">
        <is>
          <t>Identification</t>
        </is>
      </c>
      <c r="C6" s="5" t="inlineStr">
        <is>
          <t>Required for merged files</t>
        </is>
      </c>
      <c r="D6" s="5" t="inlineStr">
        <is>
          <t>Number / Text</t>
        </is>
      </c>
      <c r="E6" s="5" t="inlineStr">
        <is>
          <t>All</t>
        </is>
      </c>
      <c r="F6" s="5" t="inlineStr">
        <is>
          <t>Year and quarter of the block. Merged files: QES has three quarter blocks labelled Q2_2026 (Q2_2026_ / Right_Q2_2026_ / Right_Right_Q2_2026_) holding each establishment's latest records in turn; on upload the tool places each block, record by record, in the quarter its own YEAR / QUARTER values give (mostly Q2_2026, Q1_2026, Q4_2025). Left_Right_ / Right_ / Right_Right_ copies of ESTABLISHMENT_NAME and Licence_Number go with their block.</t>
        </is>
      </c>
      <c r="G6" s="5" t="inlineStr">
        <is>
          <t>2026 / Q3</t>
        </is>
      </c>
    </row>
    <row r="7">
      <c r="A7" s="4" t="inlineStr">
        <is>
          <t>STRATUM</t>
        </is>
      </c>
      <c r="B7" s="4" t="inlineStr">
        <is>
          <t>Identification</t>
        </is>
      </c>
      <c r="C7" s="4" t="inlineStr">
        <is>
          <t>Optional</t>
        </is>
      </c>
      <c r="D7" s="4" t="inlineStr">
        <is>
          <t>Number</t>
        </is>
      </c>
      <c r="E7" s="4" t="inlineStr">
        <is>
          <t>All</t>
        </is>
      </c>
      <c r="F7" s="4" t="inlineStr">
        <is>
          <t>Sample stratum, shown on the Record card.</t>
        </is>
      </c>
      <c r="G7" s="4" t="inlineStr">
        <is>
          <t>1</t>
        </is>
      </c>
    </row>
    <row r="8">
      <c r="A8" s="5" t="inlineStr">
        <is>
          <t>REGION_ID / ADDRESS</t>
        </is>
      </c>
      <c r="B8" s="5" t="inlineStr">
        <is>
          <t>Identification</t>
        </is>
      </c>
      <c r="C8" s="5" t="inlineStr">
        <is>
          <t>Optional</t>
        </is>
      </c>
      <c r="D8" s="5" t="inlineStr">
        <is>
          <t>Text</t>
        </is>
      </c>
      <c r="E8" s="5" t="inlineStr">
        <is>
          <t>All</t>
        </is>
      </c>
      <c r="F8" s="5" t="inlineStr">
        <is>
          <t>Kept with the record; not used by the tool.</t>
        </is>
      </c>
      <c r="G8" s="5" t="inlineStr">
        <is>
          <t>1 / Building 1, Abu Dhabi</t>
        </is>
      </c>
    </row>
    <row r="9">
      <c r="A9" s="4" t="inlineStr">
        <is>
          <t>ACTIVITY_TYPE_EN / ACTIVITY_TYPE_AR</t>
        </is>
      </c>
      <c r="B9" s="4" t="inlineStr">
        <is>
          <t>Identification</t>
        </is>
      </c>
      <c r="C9" s="4" t="inlineStr">
        <is>
          <t>Optional</t>
        </is>
      </c>
      <c r="D9" s="4" t="inlineStr">
        <is>
          <t>Text</t>
        </is>
      </c>
      <c r="E9" s="4" t="inlineStr">
        <is>
          <t>All</t>
        </is>
      </c>
      <c r="F9" s="4" t="inlineStr">
        <is>
          <t>Business activity in English/Arabic. Used with ISIC4 to classify Trade / Industry / Construction / Transport.</t>
        </is>
      </c>
      <c r="G9" s="4" t="inlineStr">
        <is>
          <t>Trade</t>
        </is>
      </c>
    </row>
    <row r="10">
      <c r="A10" s="5" t="inlineStr">
        <is>
          <t>ISIC4</t>
        </is>
      </c>
      <c r="B10" s="5" t="inlineStr">
        <is>
          <t>Identification</t>
        </is>
      </c>
      <c r="C10" s="5" t="inlineStr">
        <is>
          <t>Optional</t>
        </is>
      </c>
      <c r="D10" s="5" t="inlineStr">
        <is>
          <t>Text/Number</t>
        </is>
      </c>
      <c r="E10" s="5" t="inlineStr">
        <is>
          <t>All</t>
        </is>
      </c>
      <c r="F10" s="5" t="inlineStr">
        <is>
          <t>ISIC Rev.4 activity code. First 2 digits are used as a fallback classifier (45-47 Trade, 10-33 Industry, 41-43 Construction, 49-53 Transport).</t>
        </is>
      </c>
      <c r="G10" s="5" t="inlineStr">
        <is>
          <t>4610</t>
        </is>
      </c>
    </row>
    <row r="11">
      <c r="A11" s="4" t="inlineStr">
        <is>
          <t>ISIC4_DESC_EN / ISIC4_DESC_AR</t>
        </is>
      </c>
      <c r="B11" s="4" t="inlineStr">
        <is>
          <t>Identification</t>
        </is>
      </c>
      <c r="C11" s="4" t="inlineStr">
        <is>
          <t>Optional</t>
        </is>
      </c>
      <c r="D11" s="4" t="inlineStr">
        <is>
          <t>Text</t>
        </is>
      </c>
      <c r="E11" s="4" t="inlineStr">
        <is>
          <t>All</t>
        </is>
      </c>
      <c r="F11" s="4" t="inlineStr">
        <is>
          <t>ISIC4 description text, also scanned for classification keywords.</t>
        </is>
      </c>
      <c r="G11" s="4" t="inlineStr">
        <is>
          <t>Wholesale trade</t>
        </is>
      </c>
    </row>
    <row r="12">
      <c r="A12" s="5" t="inlineStr">
        <is>
          <t>AUDITOR_NAME_EN / AUDITOR_NAME_AR</t>
        </is>
      </c>
      <c r="B12" s="5" t="inlineStr">
        <is>
          <t>Assignment</t>
        </is>
      </c>
      <c r="C12" s="5" t="inlineStr">
        <is>
          <t>Optional</t>
        </is>
      </c>
      <c r="D12" s="5" t="inlineStr">
        <is>
          <t>Text</t>
        </is>
      </c>
      <c r="E12" s="5" t="inlineStr">
        <is>
          <t>All</t>
        </is>
      </c>
      <c r="F12" s="5" t="inlineStr">
        <is>
          <t>Auditor's display name.</t>
        </is>
      </c>
      <c r="G12" s="5" t="inlineStr">
        <is>
          <t>Fatima Auditor</t>
        </is>
      </c>
    </row>
    <row r="13">
      <c r="A13" s="4" t="inlineStr">
        <is>
          <t>ENUMERATOR_NAME_EN / ENUMERATOR_NAME_AR</t>
        </is>
      </c>
      <c r="B13" s="4" t="inlineStr">
        <is>
          <t>Assignment</t>
        </is>
      </c>
      <c r="C13" s="4" t="inlineStr">
        <is>
          <t>Optional</t>
        </is>
      </c>
      <c r="D13" s="4" t="inlineStr">
        <is>
          <t>Text</t>
        </is>
      </c>
      <c r="E13" s="4" t="inlineStr">
        <is>
          <t>All</t>
        </is>
      </c>
      <c r="F13" s="4" t="inlineStr">
        <is>
          <t>Enumerator / Key Account Manager display name.</t>
        </is>
      </c>
      <c r="G13" s="4" t="inlineStr">
        <is>
          <t>Ahmed Enumerator</t>
        </is>
      </c>
    </row>
    <row r="14">
      <c r="A14" s="5" t="inlineStr">
        <is>
          <t>Auditor_User_Name</t>
        </is>
      </c>
      <c r="B14" s="5" t="inlineStr">
        <is>
          <t>Assignment</t>
        </is>
      </c>
      <c r="C14" s="5" t="inlineStr">
        <is>
          <t>Required for Auditor role</t>
        </is>
      </c>
      <c r="D14" s="5" t="inlineStr">
        <is>
          <t>Text</t>
        </is>
      </c>
      <c r="E14" s="5" t="inlineStr">
        <is>
          <t>All</t>
        </is>
      </c>
      <c r="F14" s="5" t="inlineStr">
        <is>
          <t>Login username of the Auditor. A user whose Job = 'Auditor' can only open records where this matches their username, in any quarter.</t>
        </is>
      </c>
      <c r="G14" s="5" t="inlineStr">
        <is>
          <t>auditor1</t>
        </is>
      </c>
    </row>
    <row r="15">
      <c r="A15" s="4" t="inlineStr">
        <is>
          <t>ENUMERATOR_User_name</t>
        </is>
      </c>
      <c r="B15" s="4" t="inlineStr">
        <is>
          <t>Assignment</t>
        </is>
      </c>
      <c r="C15" s="4" t="inlineStr">
        <is>
          <t>Required for Enumerator role</t>
        </is>
      </c>
      <c r="D15" s="4" t="inlineStr">
        <is>
          <t>Text</t>
        </is>
      </c>
      <c r="E15" s="4" t="inlineStr">
        <is>
          <t>All</t>
        </is>
      </c>
      <c r="F15" s="4" t="inlineStr">
        <is>
          <t>Login username of the Enumerator / Key Account Manager. Same per-quarter matching as Auditor.</t>
        </is>
      </c>
      <c r="G15" s="4" t="inlineStr">
        <is>
          <t>enum1</t>
        </is>
      </c>
    </row>
    <row r="16">
      <c r="A16" s="5" t="inlineStr">
        <is>
          <t>AUD_Supervisor_USER_Name</t>
        </is>
      </c>
      <c r="B16" s="5" t="inlineStr">
        <is>
          <t>Assignment</t>
        </is>
      </c>
      <c r="C16" s="5" t="inlineStr">
        <is>
          <t>Required for Supervisor role</t>
        </is>
      </c>
      <c r="D16" s="5" t="inlineStr">
        <is>
          <t>Text</t>
        </is>
      </c>
      <c r="E16" s="5" t="inlineStr">
        <is>
          <t>All</t>
        </is>
      </c>
      <c r="F16" s="5" t="inlineStr">
        <is>
          <t>Username of the auditor's supervisor. A Supervisor sees records where this (or ENU_Supervisor_User_Name) matches; the Record card shows the supervisor's name from the account list.</t>
        </is>
      </c>
      <c r="G16" s="5" t="inlineStr">
        <is>
          <t>sup1</t>
        </is>
      </c>
    </row>
    <row r="17">
      <c r="A17" s="4" t="inlineStr">
        <is>
          <t>ENU_Supervisor_User_Name</t>
        </is>
      </c>
      <c r="B17" s="4" t="inlineStr">
        <is>
          <t>Assignment</t>
        </is>
      </c>
      <c r="C17" s="4" t="inlineStr">
        <is>
          <t>Optional</t>
        </is>
      </c>
      <c r="D17" s="4" t="inlineStr">
        <is>
          <t>Text</t>
        </is>
      </c>
      <c r="E17" s="4" t="inlineStr">
        <is>
          <t>All</t>
        </is>
      </c>
      <c r="F17" s="4" t="inlineStr">
        <is>
          <t>Username of the enumerator's supervisor; also gives that Supervisor access.</t>
        </is>
      </c>
      <c r="G17" s="4" t="inlineStr">
        <is>
          <t>sup1</t>
        </is>
      </c>
    </row>
    <row r="18" ht="20" customHeight="1">
      <c r="A18" s="2" t="inlineStr">
        <is>
          <t>Per-quarter financial inputs — prefix each with the quarter, e.g. Q3_2026_Total_Revenue</t>
        </is>
      </c>
      <c r="B18" s="3" t="n"/>
      <c r="C18" s="3" t="n"/>
      <c r="D18" s="3" t="n"/>
      <c r="E18" s="3" t="n"/>
      <c r="F18" s="3" t="n"/>
      <c r="G18" s="3" t="n"/>
    </row>
    <row r="19">
      <c r="A19" s="4" t="inlineStr">
        <is>
          <t>Total_Revenue</t>
        </is>
      </c>
      <c r="B19" s="4" t="inlineStr">
        <is>
          <t>Financial input</t>
        </is>
      </c>
      <c r="C19" s="4" t="inlineStr">
        <is>
          <t>Required</t>
        </is>
      </c>
      <c r="D19" s="4" t="inlineStr">
        <is>
          <t>Number</t>
        </is>
      </c>
      <c r="E19" s="4" t="inlineStr">
        <is>
          <t>All</t>
        </is>
      </c>
      <c r="F19" s="4" t="inlineStr">
        <is>
          <t>Quarter revenue / sales, excluding VAT.</t>
        </is>
      </c>
      <c r="G19" s="4" t="inlineStr">
        <is>
          <t>448000</t>
        </is>
      </c>
    </row>
    <row r="20">
      <c r="A20" s="5" t="inlineStr">
        <is>
          <t>Total_Expenses</t>
        </is>
      </c>
      <c r="B20" s="5" t="inlineStr">
        <is>
          <t>Financial input</t>
        </is>
      </c>
      <c r="C20" s="5" t="inlineStr">
        <is>
          <t>Required</t>
        </is>
      </c>
      <c r="D20" s="5" t="inlineStr">
        <is>
          <t>Number</t>
        </is>
      </c>
      <c r="E20" s="5" t="inlineStr">
        <is>
          <t>All</t>
        </is>
      </c>
      <c r="F20" s="5" t="inlineStr">
        <is>
          <t>Total quarter expenses. Used for Profit, and as part of Intermediate Consumption for every activity except Industry.</t>
        </is>
      </c>
      <c r="G20" s="5" t="inlineStr">
        <is>
          <t>123200</t>
        </is>
      </c>
    </row>
    <row r="21">
      <c r="A21" s="4" t="inlineStr">
        <is>
          <t>Operations_Cost</t>
        </is>
      </c>
      <c r="B21" s="4" t="inlineStr">
        <is>
          <t>Financial input</t>
        </is>
      </c>
      <c r="C21" s="4" t="inlineStr">
        <is>
          <t>Required</t>
        </is>
      </c>
      <c r="D21" s="4" t="inlineStr">
        <is>
          <t>Number</t>
        </is>
      </c>
      <c r="E21" s="4" t="inlineStr">
        <is>
          <t>All</t>
        </is>
      </c>
      <c r="F21" s="4" t="inlineStr">
        <is>
          <t>Operating / administrative expenses, part of Intermediate Consumption.</t>
        </is>
      </c>
      <c r="G21" s="4" t="inlineStr">
        <is>
          <t>61600</t>
        </is>
      </c>
    </row>
    <row r="22">
      <c r="A22" s="5" t="inlineStr">
        <is>
          <t>RAW_Material</t>
        </is>
      </c>
      <c r="B22" s="5" t="inlineStr">
        <is>
          <t>Financial input</t>
        </is>
      </c>
      <c r="C22" s="5" t="inlineStr">
        <is>
          <t>Required for Trade &amp; Industry</t>
        </is>
      </c>
      <c r="D22" s="5" t="inlineStr">
        <is>
          <t>Number</t>
        </is>
      </c>
      <c r="E22" s="5" t="inlineStr">
        <is>
          <t>Trade, Industry</t>
        </is>
      </c>
      <c r="F22" s="5" t="inlineStr">
        <is>
          <t>Raw materials used in production (Industry: part of Intermediate Consumption) or net purchases of goods for resale (Trade: comes off Gross Output).</t>
        </is>
      </c>
      <c r="G22" s="5" t="inlineStr">
        <is>
          <t>31360</t>
        </is>
      </c>
    </row>
    <row r="23">
      <c r="A23" s="4" t="inlineStr">
        <is>
          <t>Total_Finished_Goods_Begining_Of_period</t>
        </is>
      </c>
      <c r="B23" s="4" t="inlineStr">
        <is>
          <t>Financial input</t>
        </is>
      </c>
      <c r="C23" s="4" t="inlineStr">
        <is>
          <t>Required for Trade &amp; Industry</t>
        </is>
      </c>
      <c r="D23" s="4" t="inlineStr">
        <is>
          <t>Number</t>
        </is>
      </c>
      <c r="E23" s="4" t="inlineStr">
        <is>
          <t>Trade, Industry</t>
        </is>
      </c>
      <c r="F23" s="4" t="inlineStr">
        <is>
          <t>Opening inventory value for the quarter.</t>
        </is>
      </c>
      <c r="G23" s="4" t="inlineStr">
        <is>
          <t>19000</t>
        </is>
      </c>
    </row>
    <row r="24">
      <c r="A24" s="5" t="inlineStr">
        <is>
          <t>Total_Finished_Goods_End_of_period</t>
        </is>
      </c>
      <c r="B24" s="5" t="inlineStr">
        <is>
          <t>Financial input</t>
        </is>
      </c>
      <c r="C24" s="5" t="inlineStr">
        <is>
          <t>Required for Trade &amp; Industry</t>
        </is>
      </c>
      <c r="D24" s="5" t="inlineStr">
        <is>
          <t>Number</t>
        </is>
      </c>
      <c r="E24" s="5" t="inlineStr">
        <is>
          <t>Trade, Industry</t>
        </is>
      </c>
      <c r="F24" s="5" t="inlineStr">
        <is>
          <t>Closing inventory value for the quarter. Compared to next quarter's opening value in the comparison page.</t>
        </is>
      </c>
      <c r="G24" s="5" t="inlineStr">
        <is>
          <t>22400</t>
        </is>
      </c>
    </row>
    <row r="25">
      <c r="A25" s="4" t="inlineStr">
        <is>
          <t>IC</t>
        </is>
      </c>
      <c r="B25" s="4" t="inlineStr">
        <is>
          <t>Financial input (override)</t>
        </is>
      </c>
      <c r="C25" s="4" t="inlineStr">
        <is>
          <t>Optional</t>
        </is>
      </c>
      <c r="D25" s="4" t="inlineStr">
        <is>
          <t>Number</t>
        </is>
      </c>
      <c r="E25" s="4" t="inlineStr">
        <is>
          <t>All</t>
        </is>
      </c>
      <c r="F25" s="4" t="inlineStr">
        <is>
          <t>Intermediate Consumption supplied directly in the file. If present and non-zero it REPLACES the calculated formula below.</t>
        </is>
      </c>
      <c r="G25" s="4" t="inlineStr"/>
    </row>
    <row r="26">
      <c r="A26" s="5" t="inlineStr">
        <is>
          <t>TOTAL_EMPLOYEES</t>
        </is>
      </c>
      <c r="B26" s="5" t="inlineStr">
        <is>
          <t>Financial input</t>
        </is>
      </c>
      <c r="C26" s="5" t="inlineStr">
        <is>
          <t>Required for Average Salary</t>
        </is>
      </c>
      <c r="D26" s="5" t="inlineStr">
        <is>
          <t>Number</t>
        </is>
      </c>
      <c r="E26" s="5" t="inlineStr">
        <is>
          <t>All</t>
        </is>
      </c>
      <c r="F26" s="5" t="inlineStr">
        <is>
          <t>Headcount for the quarter.</t>
        </is>
      </c>
      <c r="G26" s="5" t="inlineStr">
        <is>
          <t>11</t>
        </is>
      </c>
    </row>
    <row r="27">
      <c r="A27" s="4" t="inlineStr">
        <is>
          <t>Employee_Salary</t>
        </is>
      </c>
      <c r="B27" s="4" t="inlineStr">
        <is>
          <t>Financial input</t>
        </is>
      </c>
      <c r="C27" s="4" t="inlineStr">
        <is>
          <t>Required for Average Salary</t>
        </is>
      </c>
      <c r="D27" s="4" t="inlineStr">
        <is>
          <t>Number</t>
        </is>
      </c>
      <c r="E27" s="4" t="inlineStr">
        <is>
          <t>All</t>
        </is>
      </c>
      <c r="F27" s="4" t="inlineStr">
        <is>
          <t>Total quarterly employee compensation (used to derive a monthly average).</t>
        </is>
      </c>
      <c r="G27" s="4" t="inlineStr">
        <is>
          <t>168000</t>
        </is>
      </c>
    </row>
    <row r="28">
      <c r="A28" s="5" t="inlineStr">
        <is>
          <t>Banking_Charges</t>
        </is>
      </c>
      <c r="B28" s="5" t="inlineStr">
        <is>
          <t>Financial input</t>
        </is>
      </c>
      <c r="C28" s="5" t="inlineStr">
        <is>
          <t>Required for Industry</t>
        </is>
      </c>
      <c r="D28" s="5" t="inlineStr">
        <is>
          <t>Number</t>
        </is>
      </c>
      <c r="E28" s="5" t="inlineStr">
        <is>
          <t>Industry</t>
        </is>
      </c>
      <c r="F28" s="5" t="inlineStr">
        <is>
          <t>Bank charges. Part of Intermediate Consumption for Industry; also shown in the expense details.</t>
        </is>
      </c>
      <c r="G28" s="5" t="inlineStr">
        <is>
          <t>2800</t>
        </is>
      </c>
    </row>
    <row r="29">
      <c r="A29" s="4" t="inlineStr">
        <is>
          <t>FUND_FOR_RESEARCH</t>
        </is>
      </c>
      <c r="B29" s="4" t="inlineStr">
        <is>
          <t>Other</t>
        </is>
      </c>
      <c r="C29" s="4" t="inlineStr">
        <is>
          <t>Optional</t>
        </is>
      </c>
      <c r="D29" s="4" t="inlineStr">
        <is>
          <t>Number</t>
        </is>
      </c>
      <c r="E29" s="4" t="inlineStr">
        <is>
          <t>All</t>
        </is>
      </c>
      <c r="F29" s="4" t="inlineStr">
        <is>
          <t>Kept with the record; not used by the tool.</t>
        </is>
      </c>
      <c r="G29" s="4" t="inlineStr">
        <is>
          <t>0</t>
        </is>
      </c>
    </row>
    <row r="30">
      <c r="A30" s="5" t="inlineStr">
        <is>
          <t>Comment_Revenue</t>
        </is>
      </c>
      <c r="B30" s="5" t="inlineStr">
        <is>
          <t>Note</t>
        </is>
      </c>
      <c r="C30" s="5" t="inlineStr">
        <is>
          <t>Optional</t>
        </is>
      </c>
      <c r="D30" s="5" t="inlineStr">
        <is>
          <t>Text</t>
        </is>
      </c>
      <c r="E30" s="5" t="inlineStr">
        <is>
          <t>All</t>
        </is>
      </c>
      <c r="F30" s="5" t="inlineStr">
        <is>
          <t>Free-text note on the revenue figure, shown alongside the record.</t>
        </is>
      </c>
      <c r="G30" s="5" t="inlineStr">
        <is>
          <t>Confirmed with client</t>
        </is>
      </c>
    </row>
    <row r="31">
      <c r="A31" s="4" t="inlineStr">
        <is>
          <t>Comment_Expense</t>
        </is>
      </c>
      <c r="B31" s="4" t="inlineStr">
        <is>
          <t>Note</t>
        </is>
      </c>
      <c r="C31" s="4" t="inlineStr">
        <is>
          <t>Optional</t>
        </is>
      </c>
      <c r="D31" s="4" t="inlineStr">
        <is>
          <t>Text</t>
        </is>
      </c>
      <c r="E31" s="4" t="inlineStr">
        <is>
          <t>All</t>
        </is>
      </c>
      <c r="F31" s="4" t="inlineStr">
        <is>
          <t>Free-text note on the expenses figure.</t>
        </is>
      </c>
      <c r="G31" s="4" t="inlineStr"/>
    </row>
    <row r="32">
      <c r="A32" s="5" t="inlineStr">
        <is>
          <t>Comment_Inventory</t>
        </is>
      </c>
      <c r="B32" s="5" t="inlineStr">
        <is>
          <t>Note</t>
        </is>
      </c>
      <c r="C32" s="5" t="inlineStr">
        <is>
          <t>Optional</t>
        </is>
      </c>
      <c r="D32" s="5" t="inlineStr">
        <is>
          <t>Text</t>
        </is>
      </c>
      <c r="E32" s="5" t="inlineStr">
        <is>
          <t>All</t>
        </is>
      </c>
      <c r="F32" s="5" t="inlineStr">
        <is>
          <t>Free-text note on the inventory figures.</t>
        </is>
      </c>
      <c r="G32" s="5" t="inlineStr"/>
    </row>
    <row r="33" ht="20" customHeight="1">
      <c r="A33" s="2" t="inlineStr">
        <is>
          <t>Calculated outputs (produced by the tool — do not upload these)</t>
        </is>
      </c>
      <c r="B33" s="3" t="n"/>
      <c r="C33" s="3" t="n"/>
      <c r="D33" s="3" t="n"/>
      <c r="E33" s="3" t="n"/>
      <c r="F33" s="3" t="n"/>
      <c r="G33" s="3" t="n"/>
    </row>
    <row r="34">
      <c r="A34" s="5" t="inlineStr">
        <is>
          <t>Business classification</t>
        </is>
      </c>
      <c r="B34" s="5" t="inlineStr">
        <is>
          <t>Calculated</t>
        </is>
      </c>
      <c r="C34" s="5" t="inlineStr">
        <is>
          <t>—</t>
        </is>
      </c>
      <c r="D34" s="5" t="inlineStr">
        <is>
          <t>Text</t>
        </is>
      </c>
      <c r="E34" s="5" t="inlineStr">
        <is>
          <t>All</t>
        </is>
      </c>
      <c r="F34" s="5" t="inlineStr">
        <is>
          <t>Trade / Industry / Construction / Transport / Other, derived from ISIC4 and activity text.</t>
        </is>
      </c>
      <c r="G34" s="5" t="inlineStr">
        <is>
          <t>Trade</t>
        </is>
      </c>
    </row>
    <row r="35">
      <c r="A35" s="4" t="inlineStr">
        <is>
          <t>Gross Output</t>
        </is>
      </c>
      <c r="B35" s="4" t="inlineStr">
        <is>
          <t>Calculated</t>
        </is>
      </c>
      <c r="C35" s="4" t="inlineStr">
        <is>
          <t>—</t>
        </is>
      </c>
      <c r="D35" s="4" t="inlineStr">
        <is>
          <t>Number</t>
        </is>
      </c>
      <c r="E35" s="4" t="inlineStr">
        <is>
          <t>All</t>
        </is>
      </c>
      <c r="F35" s="4" t="inlineStr">
        <is>
          <t>Trade: Revenue + End Inv. − Begin Inv. − Raw Material.  Industry: Revenue + End Inv. − Begin Inv.  Construction / Transport / Other: Revenue.</t>
        </is>
      </c>
      <c r="G35" s="4" t="inlineStr">
        <is>
          <t>420,040</t>
        </is>
      </c>
    </row>
    <row r="36">
      <c r="A36" s="5" t="inlineStr">
        <is>
          <t>Intermediate Consumption (IC)</t>
        </is>
      </c>
      <c r="B36" s="5" t="inlineStr">
        <is>
          <t>Calculated</t>
        </is>
      </c>
      <c r="C36" s="5" t="inlineStr">
        <is>
          <t>—</t>
        </is>
      </c>
      <c r="D36" s="5" t="inlineStr">
        <is>
          <t>Number</t>
        </is>
      </c>
      <c r="E36" s="5" t="inlineStr">
        <is>
          <t>All</t>
        </is>
      </c>
      <c r="F36" s="5" t="inlineStr">
        <is>
          <t>The IC column if supplied; otherwise Industry: Operations Cost + Banking Charges + Raw Material, every other activity: Operations Cost + Expenses.</t>
        </is>
      </c>
      <c r="G36" s="5" t="inlineStr">
        <is>
          <t>184,800</t>
        </is>
      </c>
    </row>
    <row r="37">
      <c r="A37" s="4" t="inlineStr">
        <is>
          <t>Added Value</t>
        </is>
      </c>
      <c r="B37" s="4" t="inlineStr">
        <is>
          <t>Calculated</t>
        </is>
      </c>
      <c r="C37" s="4" t="inlineStr">
        <is>
          <t>—</t>
        </is>
      </c>
      <c r="D37" s="4" t="inlineStr">
        <is>
          <t>Number</t>
        </is>
      </c>
      <c r="E37" s="4" t="inlineStr">
        <is>
          <t>All</t>
        </is>
      </c>
      <c r="F37" s="4" t="inlineStr">
        <is>
          <t>Gross Output − Intermediate Consumption.</t>
        </is>
      </c>
      <c r="G37" s="4" t="inlineStr">
        <is>
          <t>235,240</t>
        </is>
      </c>
    </row>
    <row r="38">
      <c r="A38" s="5" t="inlineStr">
        <is>
          <t>Profit</t>
        </is>
      </c>
      <c r="B38" s="5" t="inlineStr">
        <is>
          <t>Calculated</t>
        </is>
      </c>
      <c r="C38" s="5" t="inlineStr">
        <is>
          <t>—</t>
        </is>
      </c>
      <c r="D38" s="5" t="inlineStr">
        <is>
          <t>Number</t>
        </is>
      </c>
      <c r="E38" s="5" t="inlineStr">
        <is>
          <t>All</t>
        </is>
      </c>
      <c r="F38" s="5" t="inlineStr">
        <is>
          <t>Trade: Gross Output − (Expenses − Raw Material).  Industry: Gross Output − Expenses.  Construction / Transport / Other: Revenue − Expenses.</t>
        </is>
      </c>
      <c r="G38" s="5" t="inlineStr">
        <is>
          <t>328,200</t>
        </is>
      </c>
    </row>
    <row r="39">
      <c r="A39" s="4" t="inlineStr">
        <is>
          <t>Average Salary</t>
        </is>
      </c>
      <c r="B39" s="4" t="inlineStr">
        <is>
          <t>Calculated</t>
        </is>
      </c>
      <c r="C39" s="4" t="inlineStr">
        <is>
          <t>—</t>
        </is>
      </c>
      <c r="D39" s="4" t="inlineStr">
        <is>
          <t>Number</t>
        </is>
      </c>
      <c r="E39" s="4" t="inlineStr">
        <is>
          <t>All</t>
        </is>
      </c>
      <c r="F39" s="4" t="inlineStr">
        <is>
          <t>Employee_Salary ÷ TOTAL_EMPLOYEES ÷ 3 (quarterly salary spread over 3 months).</t>
        </is>
      </c>
      <c r="G39" s="4" t="inlineStr">
        <is>
          <t>5,091</t>
        </is>
      </c>
    </row>
    <row r="40">
      <c r="A40" s="5" t="inlineStr">
        <is>
          <t>Profit %</t>
        </is>
      </c>
      <c r="B40" s="5" t="inlineStr">
        <is>
          <t>Calculated</t>
        </is>
      </c>
      <c r="C40" s="5" t="inlineStr">
        <is>
          <t>—</t>
        </is>
      </c>
      <c r="D40" s="5" t="inlineStr">
        <is>
          <t>Percent</t>
        </is>
      </c>
      <c r="E40" s="5" t="inlineStr">
        <is>
          <t>All</t>
        </is>
      </c>
      <c r="F40" s="5" t="inlineStr">
        <is>
          <t>Profit ÷ |Revenue| × 100.</t>
        </is>
      </c>
      <c r="G40" s="5" t="inlineStr">
        <is>
          <t>73.3%</t>
        </is>
      </c>
    </row>
    <row r="41">
      <c r="A41" s="4" t="inlineStr">
        <is>
          <t>Added Value %</t>
        </is>
      </c>
      <c r="B41" s="4" t="inlineStr">
        <is>
          <t>Calculated</t>
        </is>
      </c>
      <c r="C41" s="4" t="inlineStr">
        <is>
          <t>—</t>
        </is>
      </c>
      <c r="D41" s="4" t="inlineStr">
        <is>
          <t>Percent</t>
        </is>
      </c>
      <c r="E41" s="4" t="inlineStr">
        <is>
          <t>All</t>
        </is>
      </c>
      <c r="F41" s="4" t="inlineStr">
        <is>
          <t>Added Value ÷ |Gross Output| × 100.</t>
        </is>
      </c>
      <c r="G41" s="4" t="inlineStr">
        <is>
          <t>56.0%</t>
        </is>
      </c>
    </row>
    <row r="42">
      <c r="A42" s="5" t="inlineStr">
        <is>
          <t>Intermediate Consumption %</t>
        </is>
      </c>
      <c r="B42" s="5" t="inlineStr">
        <is>
          <t>Calculated</t>
        </is>
      </c>
      <c r="C42" s="5" t="inlineStr">
        <is>
          <t>—</t>
        </is>
      </c>
      <c r="D42" s="5" t="inlineStr">
        <is>
          <t>Percent</t>
        </is>
      </c>
      <c r="E42" s="5" t="inlineStr">
        <is>
          <t>All</t>
        </is>
      </c>
      <c r="F42" s="5" t="inlineStr">
        <is>
          <t>Intermediate Consumption ÷ |Gross Output| × 100.</t>
        </is>
      </c>
      <c r="G42" s="5" t="inlineStr">
        <is>
          <t>44.0%</t>
        </is>
      </c>
    </row>
    <row r="43">
      <c r="A43" s="4" t="inlineStr">
        <is>
          <t>Validation status</t>
        </is>
      </c>
      <c r="B43" s="4" t="inlineStr">
        <is>
          <t>Calculated</t>
        </is>
      </c>
      <c r="C43" s="4" t="inlineStr">
        <is>
          <t>—</t>
        </is>
      </c>
      <c r="D43" s="4" t="inlineStr">
        <is>
          <t>Text</t>
        </is>
      </c>
      <c r="E43" s="4" t="inlineStr">
        <is>
          <t>All</t>
        </is>
      </c>
      <c r="F43" s="4" t="inlineStr">
        <is>
          <t>'Positive added value' / 'Negative added value' / 'Zero added value'.</t>
        </is>
      </c>
      <c r="G43" s="4" t="inlineStr">
        <is>
          <t>Positive added value</t>
        </is>
      </c>
    </row>
  </sheetData>
  <autoFilter ref="A1:G43"/>
  <mergeCells count="3">
    <mergeCell ref="A33:G33"/>
    <mergeCell ref="A2:G2"/>
    <mergeCell ref="A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0" customWidth="1" min="4" max="4"/>
    <col width="24" customWidth="1" min="5" max="5"/>
    <col width="55" customWidth="1" min="6" max="6"/>
    <col width="16" customWidth="1" min="7" max="7"/>
  </cols>
  <sheetData>
    <row r="1" ht="28" customHeight="1">
      <c r="A1" s="1" t="inlineStr">
        <is>
          <t>Variable / Column name</t>
        </is>
      </c>
      <c r="B1" s="1" t="inlineStr">
        <is>
          <t>Category</t>
        </is>
      </c>
      <c r="C1" s="1" t="inlineStr">
        <is>
          <t>Required?</t>
        </is>
      </c>
      <c r="D1" s="1" t="inlineStr">
        <is>
          <t>Data type</t>
        </is>
      </c>
      <c r="E1" s="1" t="inlineStr">
        <is>
          <t>Applies to (business type)</t>
        </is>
      </c>
      <c r="F1" s="1" t="inlineStr">
        <is>
          <t>Description</t>
        </is>
      </c>
      <c r="G1" s="1" t="inlineStr">
        <is>
          <t>Example value</t>
        </is>
      </c>
    </row>
    <row r="2" ht="20" customHeight="1">
      <c r="A2" s="2" t="inlineStr">
        <is>
          <t>How comparison works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Frame ID / License Number</t>
        </is>
      </c>
      <c r="B3" s="4" t="inlineStr">
        <is>
          <t>Selection</t>
        </is>
      </c>
      <c r="C3" s="4" t="inlineStr">
        <is>
          <t>Required</t>
        </is>
      </c>
      <c r="D3" s="4" t="inlineStr">
        <is>
          <t>Text</t>
        </is>
      </c>
      <c r="E3" s="4" t="inlineStr">
        <is>
          <t>All</t>
        </is>
      </c>
      <c r="F3" s="4" t="inlineStr">
        <is>
          <t>Pick a Frame ID or a License Number. Every Frame ID sharing that licence number is combined, each quarter from the Frame ID that reported it, and compared across 2 or more quarters.</t>
        </is>
      </c>
      <c r="G3" s="4" t="inlineStr">
        <is>
          <t>F101</t>
        </is>
      </c>
    </row>
    <row r="4">
      <c r="A4" s="5" t="inlineStr">
        <is>
          <t>Selected periods</t>
        </is>
      </c>
      <c r="B4" s="5" t="inlineStr">
        <is>
          <t>Selection</t>
        </is>
      </c>
      <c r="C4" s="5" t="inlineStr">
        <is>
          <t>Required</t>
        </is>
      </c>
      <c r="D4" s="5" t="inlineStr">
        <is>
          <t>List</t>
        </is>
      </c>
      <c r="E4" s="5" t="inlineStr">
        <is>
          <t>All</t>
        </is>
      </c>
      <c r="F4" s="5" t="inlineStr">
        <is>
          <t>Every quarter present for that Frame ID is selectable (after merged Right_ blocks are renamed on upload); pick 2+ to compare.</t>
        </is>
      </c>
      <c r="G4" s="5" t="inlineStr">
        <is>
          <t>Q2_2026, Q3_2026</t>
        </is>
      </c>
    </row>
    <row r="5" ht="20" customHeight="1">
      <c r="A5" s="2" t="inlineStr">
        <is>
          <t>Table 1 — Financial comparison (one row per selected quarter)</t>
        </is>
      </c>
      <c r="B5" s="3" t="n"/>
      <c r="C5" s="3" t="n"/>
      <c r="D5" s="3" t="n"/>
      <c r="E5" s="3" t="n"/>
      <c r="F5" s="3" t="n"/>
      <c r="G5" s="3" t="n"/>
    </row>
    <row r="6">
      <c r="A6" s="5" t="inlineStr">
        <is>
          <t>Revenue</t>
        </is>
      </c>
      <c r="B6" s="5" t="inlineStr">
        <is>
          <t>Financial</t>
        </is>
      </c>
      <c r="C6" s="5" t="inlineStr">
        <is>
          <t>Calculated</t>
        </is>
      </c>
      <c r="D6" s="5" t="inlineStr">
        <is>
          <t>Number</t>
        </is>
      </c>
      <c r="E6" s="5" t="inlineStr">
        <is>
          <t>All</t>
        </is>
      </c>
      <c r="F6" s="5">
        <f> Total_Revenue for that quarter.</f>
        <v/>
      </c>
      <c r="G6" s="5" t="inlineStr">
        <is>
          <t>380,000 / 448,000</t>
        </is>
      </c>
    </row>
    <row r="7">
      <c r="A7" s="4" t="inlineStr">
        <is>
          <t>Expenditure</t>
        </is>
      </c>
      <c r="B7" s="4" t="inlineStr">
        <is>
          <t>Financial</t>
        </is>
      </c>
      <c r="C7" s="4" t="inlineStr">
        <is>
          <t>Calculated</t>
        </is>
      </c>
      <c r="D7" s="4" t="inlineStr">
        <is>
          <t>Number</t>
        </is>
      </c>
      <c r="E7" s="4" t="inlineStr">
        <is>
          <t>All</t>
        </is>
      </c>
      <c r="F7" s="4">
        <f> Total_Expenses for that quarter.</f>
        <v/>
      </c>
      <c r="G7" s="4" t="inlineStr">
        <is>
          <t>104,500 / 123,200</t>
        </is>
      </c>
    </row>
    <row r="8">
      <c r="A8" s="5" t="inlineStr">
        <is>
          <t>Profit</t>
        </is>
      </c>
      <c r="B8" s="5" t="inlineStr">
        <is>
          <t>Financial</t>
        </is>
      </c>
      <c r="C8" s="5" t="inlineStr">
        <is>
          <t>Calculated</t>
        </is>
      </c>
      <c r="D8" s="5" t="inlineStr">
        <is>
          <t>Number</t>
        </is>
      </c>
      <c r="E8" s="5" t="inlineStr">
        <is>
          <t>All</t>
        </is>
      </c>
      <c r="F8" s="5" t="inlineStr">
        <is>
          <t>Same rule as the single-quarter calculation.</t>
        </is>
      </c>
      <c r="G8" s="5" t="inlineStr">
        <is>
          <t>272,900 / 328,200</t>
        </is>
      </c>
    </row>
    <row r="9">
      <c r="A9" s="4" t="inlineStr">
        <is>
          <t>Added value</t>
        </is>
      </c>
      <c r="B9" s="4" t="inlineStr">
        <is>
          <t>Financial</t>
        </is>
      </c>
      <c r="C9" s="4" t="inlineStr">
        <is>
          <t>Calculated</t>
        </is>
      </c>
      <c r="D9" s="4" t="inlineStr">
        <is>
          <t>Number</t>
        </is>
      </c>
      <c r="E9" s="4" t="inlineStr">
        <is>
          <t>All</t>
        </is>
      </c>
      <c r="F9" s="4">
        <f> Gross Output − Intermediate Consumption.</f>
        <v/>
      </c>
      <c r="G9" s="4" t="inlineStr">
        <is>
          <t>194,050 / 235,240</t>
        </is>
      </c>
    </row>
    <row r="10">
      <c r="A10" s="5" t="inlineStr">
        <is>
          <t>IC</t>
        </is>
      </c>
      <c r="B10" s="5" t="inlineStr">
        <is>
          <t>Financial</t>
        </is>
      </c>
      <c r="C10" s="5" t="inlineStr">
        <is>
          <t>Calculated</t>
        </is>
      </c>
      <c r="D10" s="5" t="inlineStr">
        <is>
          <t>Number</t>
        </is>
      </c>
      <c r="E10" s="5" t="inlineStr">
        <is>
          <t>All</t>
        </is>
      </c>
      <c r="F10" s="5" t="inlineStr">
        <is>
          <t>Intermediate Consumption for that quarter.</t>
        </is>
      </c>
      <c r="G10" s="5" t="inlineStr">
        <is>
          <t>156,750 / 184,800</t>
        </is>
      </c>
    </row>
    <row r="11">
      <c r="A11" s="4" t="inlineStr">
        <is>
          <t>Profit %, AV %, IC %</t>
        </is>
      </c>
      <c r="B11" s="4" t="inlineStr">
        <is>
          <t>Financial</t>
        </is>
      </c>
      <c r="C11" s="4" t="inlineStr">
        <is>
          <t>Calculated</t>
        </is>
      </c>
      <c r="D11" s="4" t="inlineStr">
        <is>
          <t>Percent</t>
        </is>
      </c>
      <c r="E11" s="4" t="inlineStr">
        <is>
          <t>All</t>
        </is>
      </c>
      <c r="F11" s="4" t="inlineStr">
        <is>
          <t>Same ratios as the single-quarter calculation page.</t>
        </is>
      </c>
      <c r="G11" s="4" t="inlineStr">
        <is>
          <t>73.3% / 56.0% / 44.0%</t>
        </is>
      </c>
    </row>
    <row r="12" ht="20" customHeight="1">
      <c r="A12" s="2" t="inlineStr">
        <is>
          <t>Table 2 — Inventory continuity (one row per selected quarter)</t>
        </is>
      </c>
      <c r="B12" s="3" t="n"/>
      <c r="C12" s="3" t="n"/>
      <c r="D12" s="3" t="n"/>
      <c r="E12" s="3" t="n"/>
      <c r="F12" s="3" t="n"/>
      <c r="G12" s="3" t="n"/>
    </row>
    <row r="13">
      <c r="A13" s="4" t="inlineStr">
        <is>
          <t>Inventory start</t>
        </is>
      </c>
      <c r="B13" s="4" t="inlineStr">
        <is>
          <t>Inventory</t>
        </is>
      </c>
      <c r="C13" s="4" t="inlineStr">
        <is>
          <t>Financial input</t>
        </is>
      </c>
      <c r="D13" s="4" t="inlineStr">
        <is>
          <t>Number</t>
        </is>
      </c>
      <c r="E13" s="4" t="inlineStr">
        <is>
          <t>Trade, Industry</t>
        </is>
      </c>
      <c r="F13" s="4">
        <f> Total_Finished_Goods_Begining_Of_period for that quarter.</f>
        <v/>
      </c>
      <c r="G13" s="4" t="inlineStr">
        <is>
          <t>19,000</t>
        </is>
      </c>
    </row>
    <row r="14">
      <c r="A14" s="5" t="inlineStr">
        <is>
          <t>Inventory end</t>
        </is>
      </c>
      <c r="B14" s="5" t="inlineStr">
        <is>
          <t>Inventory</t>
        </is>
      </c>
      <c r="C14" s="5" t="inlineStr">
        <is>
          <t>Financial input</t>
        </is>
      </c>
      <c r="D14" s="5" t="inlineStr">
        <is>
          <t>Number</t>
        </is>
      </c>
      <c r="E14" s="5" t="inlineStr">
        <is>
          <t>Trade, Industry</t>
        </is>
      </c>
      <c r="F14" s="5">
        <f> Total_Finished_Goods_End_of_period for that quarter.</f>
        <v/>
      </c>
      <c r="G14" s="5" t="inlineStr">
        <is>
          <t>22,400</t>
        </is>
      </c>
    </row>
    <row r="15">
      <c r="A15" s="4" t="inlineStr">
        <is>
          <t>Validation</t>
        </is>
      </c>
      <c r="B15" s="4" t="inlineStr">
        <is>
          <t>Inventory</t>
        </is>
      </c>
      <c r="C15" s="4" t="inlineStr">
        <is>
          <t>Calculated</t>
        </is>
      </c>
      <c r="D15" s="4" t="inlineStr">
        <is>
          <t>Text</t>
        </is>
      </c>
      <c r="E15" s="4" t="inlineStr">
        <is>
          <t>Trade, Industry</t>
        </is>
      </c>
      <c r="F15" s="4" t="inlineStr">
        <is>
          <t>Flags whether this quarter's Inventory start equals the PREVIOUS selected quarter's Inventory end.</t>
        </is>
      </c>
      <c r="G15" s="4" t="inlineStr">
        <is>
          <t>Start equals previous end</t>
        </is>
      </c>
    </row>
    <row r="16" ht="20" customHeight="1">
      <c r="A16" s="2" t="inlineStr">
        <is>
          <t>Table 3 — Employee comparison (one row per selected quarter)</t>
        </is>
      </c>
      <c r="B16" s="3" t="n"/>
      <c r="C16" s="3" t="n"/>
      <c r="D16" s="3" t="n"/>
      <c r="E16" s="3" t="n"/>
      <c r="F16" s="3" t="n"/>
      <c r="G16" s="3" t="n"/>
    </row>
    <row r="17">
      <c r="A17" s="4" t="inlineStr">
        <is>
          <t>Employees</t>
        </is>
      </c>
      <c r="B17" s="4" t="inlineStr">
        <is>
          <t>Employee</t>
        </is>
      </c>
      <c r="C17" s="4" t="inlineStr">
        <is>
          <t>Financial input</t>
        </is>
      </c>
      <c r="D17" s="4" t="inlineStr">
        <is>
          <t>Number</t>
        </is>
      </c>
      <c r="E17" s="4" t="inlineStr">
        <is>
          <t>All</t>
        </is>
      </c>
      <c r="F17" s="4">
        <f> TOTAL_EMPLOYEES for that quarter.</f>
        <v/>
      </c>
      <c r="G17" s="4" t="inlineStr">
        <is>
          <t>10 / 11</t>
        </is>
      </c>
    </row>
    <row r="18">
      <c r="A18" s="5" t="inlineStr">
        <is>
          <t>Employee compensation</t>
        </is>
      </c>
      <c r="B18" s="5" t="inlineStr">
        <is>
          <t>Employee</t>
        </is>
      </c>
      <c r="C18" s="5" t="inlineStr">
        <is>
          <t>Financial input</t>
        </is>
      </c>
      <c r="D18" s="5" t="inlineStr">
        <is>
          <t>Number</t>
        </is>
      </c>
      <c r="E18" s="5" t="inlineStr">
        <is>
          <t>All</t>
        </is>
      </c>
      <c r="F18" s="5">
        <f> Employee_Salary for that quarter.</f>
        <v/>
      </c>
      <c r="G18" s="5" t="inlineStr">
        <is>
          <t>142,500 / 168,000</t>
        </is>
      </c>
    </row>
    <row r="19">
      <c r="A19" s="4" t="inlineStr">
        <is>
          <t>Average salary</t>
        </is>
      </c>
      <c r="B19" s="4" t="inlineStr">
        <is>
          <t>Employee</t>
        </is>
      </c>
      <c r="C19" s="4" t="inlineStr">
        <is>
          <t>Calculated</t>
        </is>
      </c>
      <c r="D19" s="4" t="inlineStr">
        <is>
          <t>Number</t>
        </is>
      </c>
      <c r="E19" s="4" t="inlineStr">
        <is>
          <t>All</t>
        </is>
      </c>
      <c r="F19" s="4">
        <f> Employee_Salary ÷ Employees ÷ 3.</f>
        <v/>
      </c>
      <c r="G19" s="4" t="inlineStr">
        <is>
          <t>5,091</t>
        </is>
      </c>
    </row>
    <row r="20">
      <c r="A20" s="5" t="inlineStr">
        <is>
          <t>Employee change count</t>
        </is>
      </c>
      <c r="B20" s="5" t="inlineStr">
        <is>
          <t>Employee</t>
        </is>
      </c>
      <c r="C20" s="5" t="inlineStr">
        <is>
          <t>Calculated</t>
        </is>
      </c>
      <c r="D20" s="5" t="inlineStr">
        <is>
          <t>Number</t>
        </is>
      </c>
      <c r="E20" s="5" t="inlineStr">
        <is>
          <t>All</t>
        </is>
      </c>
      <c r="F20" s="5">
        <f> Employees(this quarter) − Employees(previous quarter). First row shows 'Base period'.</f>
        <v/>
      </c>
      <c r="G20" s="5" t="inlineStr">
        <is>
          <t>+1</t>
        </is>
      </c>
    </row>
    <row r="21">
      <c r="A21" s="4" t="inlineStr">
        <is>
          <t>Employee change %</t>
        </is>
      </c>
      <c r="B21" s="4" t="inlineStr">
        <is>
          <t>Employee</t>
        </is>
      </c>
      <c r="C21" s="4" t="inlineStr">
        <is>
          <t>Calculated</t>
        </is>
      </c>
      <c r="D21" s="4" t="inlineStr">
        <is>
          <t>Percent</t>
        </is>
      </c>
      <c r="E21" s="4" t="inlineStr">
        <is>
          <t>All</t>
        </is>
      </c>
      <c r="F21" s="4">
        <f> Employee change count ÷ |previous quarter Employees| × 100.</f>
        <v/>
      </c>
      <c r="G21" s="4" t="inlineStr">
        <is>
          <t>10.0%</t>
        </is>
      </c>
    </row>
    <row r="22" ht="20" customHeight="1">
      <c r="A22" s="2" t="inlineStr">
        <is>
          <t>Table 4 — ISIC classification stability</t>
        </is>
      </c>
      <c r="B22" s="3" t="n"/>
      <c r="C22" s="3" t="n"/>
      <c r="D22" s="3" t="n"/>
      <c r="E22" s="3" t="n"/>
      <c r="F22" s="3" t="n"/>
      <c r="G22" s="3" t="n"/>
    </row>
    <row r="23">
      <c r="A23" s="4" t="inlineStr">
        <is>
          <t>ISIC4 per quarter</t>
        </is>
      </c>
      <c r="B23" s="4" t="inlineStr">
        <is>
          <t>Classification</t>
        </is>
      </c>
      <c r="C23" s="4" t="inlineStr">
        <is>
          <t>Financial input</t>
        </is>
      </c>
      <c r="D23" s="4" t="inlineStr">
        <is>
          <t>Text</t>
        </is>
      </c>
      <c r="E23" s="4" t="inlineStr">
        <is>
          <t>All</t>
        </is>
      </c>
      <c r="F23" s="4" t="inlineStr">
        <is>
          <t>Each quarter's ISIC4; flagged red when it changes from the previous quarter. Also cross-checked against the annual AES file's {YYYY}_ISIC4.</t>
        </is>
      </c>
      <c r="G23" s="4" t="inlineStr">
        <is>
          <t>4610</t>
        </is>
      </c>
    </row>
  </sheetData>
  <autoFilter ref="A1:G23"/>
  <mergeCells count="5">
    <mergeCell ref="A22:G22"/>
    <mergeCell ref="A12:G12"/>
    <mergeCell ref="A16:G16"/>
    <mergeCell ref="A2:G2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0" customWidth="1" min="4" max="4"/>
    <col width="24" customWidth="1" min="5" max="5"/>
    <col width="55" customWidth="1" min="6" max="6"/>
    <col width="16" customWidth="1" min="7" max="7"/>
  </cols>
  <sheetData>
    <row r="1" ht="28" customHeight="1">
      <c r="A1" s="1" t="inlineStr">
        <is>
          <t>Variable / Column name</t>
        </is>
      </c>
      <c r="B1" s="1" t="inlineStr">
        <is>
          <t>Category</t>
        </is>
      </c>
      <c r="C1" s="1" t="inlineStr">
        <is>
          <t>Required?</t>
        </is>
      </c>
      <c r="D1" s="1" t="inlineStr">
        <is>
          <t>Data type</t>
        </is>
      </c>
      <c r="E1" s="1" t="inlineStr">
        <is>
          <t>Applies to (business type)</t>
        </is>
      </c>
      <c r="F1" s="1" t="inlineStr">
        <is>
          <t>Description</t>
        </is>
      </c>
      <c r="G1" s="1" t="inlineStr">
        <is>
          <t>Example value</t>
        </is>
      </c>
    </row>
    <row r="2" ht="20" customHeight="1">
      <c r="A2" s="2" t="inlineStr">
        <is>
          <t>Identification &amp; assignment — FRAMEID, ESTABLISHMENT_NAME and LICENSE_NUMBER once per row; the rest once per quarter, e.g. Q3_2026_STRATUM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FRAMEID</t>
        </is>
      </c>
      <c r="B3" s="4" t="inlineStr">
        <is>
          <t>Identification</t>
        </is>
      </c>
      <c r="C3" s="4" t="inlineStr">
        <is>
          <t>Required</t>
        </is>
      </c>
      <c r="D3" s="4" t="inlineStr">
        <is>
          <t>Text</t>
        </is>
      </c>
      <c r="E3" s="4" t="inlineStr">
        <is>
          <t>All</t>
        </is>
      </c>
      <c r="F3" s="4" t="inlineStr">
        <is>
          <t>Unique establishment identifier. One row per Frame ID. Right_FRAMEID (the merged copy) is ignored.</t>
        </is>
      </c>
      <c r="G3" s="4" t="inlineStr">
        <is>
          <t>F101</t>
        </is>
      </c>
    </row>
    <row r="4">
      <c r="A4" s="5" t="inlineStr">
        <is>
          <t>ESTABLISHMENT_NAME</t>
        </is>
      </c>
      <c r="B4" s="5" t="inlineStr">
        <is>
          <t>Identification</t>
        </is>
      </c>
      <c r="C4" s="5" t="inlineStr">
        <is>
          <t>Optional</t>
        </is>
      </c>
      <c r="D4" s="5" t="inlineStr">
        <is>
          <t>Text</t>
        </is>
      </c>
      <c r="E4" s="5" t="inlineStr">
        <is>
          <t>All</t>
        </is>
      </c>
      <c r="F4" s="5" t="inlineStr">
        <is>
          <t>Establishment name. Right_ESTABLISHMENT_NAME is the second quarter's copy.</t>
        </is>
      </c>
      <c r="G4" s="5" t="inlineStr">
        <is>
          <t>Establishment 1 LLC</t>
        </is>
      </c>
    </row>
    <row r="5">
      <c r="A5" s="4" t="inlineStr">
        <is>
          <t>LICENSE_NUMBER</t>
        </is>
      </c>
      <c r="B5" s="4" t="inlineStr">
        <is>
          <t>Identification</t>
        </is>
      </c>
      <c r="C5" s="4" t="inlineStr">
        <is>
          <t>Optional</t>
        </is>
      </c>
      <c r="D5" s="4" t="inlineStr">
        <is>
          <t>Text</t>
        </is>
      </c>
      <c r="E5" s="4" t="inlineStr">
        <is>
          <t>All</t>
        </is>
      </c>
      <c r="F5" s="4" t="inlineStr">
        <is>
          <t>Licence number. Searchable from the License Number box; a search combines every Frame ID sharing it, which the Record card lists. Right_LICENSE_NUMBER is the second quarter's copy.</t>
        </is>
      </c>
      <c r="G5" s="4" t="inlineStr">
        <is>
          <t>CN-1000101</t>
        </is>
      </c>
    </row>
    <row r="6">
      <c r="A6" s="5" t="inlineStr">
        <is>
          <t>STRATUM</t>
        </is>
      </c>
      <c r="B6" s="5" t="inlineStr">
        <is>
          <t>Identification</t>
        </is>
      </c>
      <c r="C6" s="5" t="inlineStr">
        <is>
          <t>Optional</t>
        </is>
      </c>
      <c r="D6" s="5" t="inlineStr">
        <is>
          <t>Number</t>
        </is>
      </c>
      <c r="E6" s="5" t="inlineStr">
        <is>
          <t>All</t>
        </is>
      </c>
      <c r="F6" s="5" t="inlineStr">
        <is>
          <t>Sample stratum, shown on the Record card.</t>
        </is>
      </c>
      <c r="G6" s="5" t="inlineStr">
        <is>
          <t>1</t>
        </is>
      </c>
    </row>
    <row r="7">
      <c r="A7" s="4" t="inlineStr">
        <is>
          <t>VISIT_STATUS_EN / VISIT_STATUS_AR</t>
        </is>
      </c>
      <c r="B7" s="4" t="inlineStr">
        <is>
          <t>Identification</t>
        </is>
      </c>
      <c r="C7" s="4" t="inlineStr">
        <is>
          <t>Optional</t>
        </is>
      </c>
      <c r="D7" s="4" t="inlineStr">
        <is>
          <t>Text</t>
        </is>
      </c>
      <c r="E7" s="4" t="inlineStr">
        <is>
          <t>All</t>
        </is>
      </c>
      <c r="F7" s="4" t="inlineStr">
        <is>
          <t>Outcome of the quarter's visit, shown on the Record card.</t>
        </is>
      </c>
      <c r="G7" s="4" t="inlineStr">
        <is>
          <t>Active</t>
        </is>
      </c>
    </row>
    <row r="8">
      <c r="A8" s="5" t="inlineStr">
        <is>
          <t>ISIC4</t>
        </is>
      </c>
      <c r="B8" s="5" t="inlineStr">
        <is>
          <t>Identification</t>
        </is>
      </c>
      <c r="C8" s="5" t="inlineStr">
        <is>
          <t>Optional</t>
        </is>
      </c>
      <c r="D8" s="5" t="inlineStr">
        <is>
          <t>Text/Number</t>
        </is>
      </c>
      <c r="E8" s="5" t="inlineStr">
        <is>
          <t>All</t>
        </is>
      </c>
      <c r="F8" s="5" t="inlineStr">
        <is>
          <t>ISIC Rev.4 activity code, shown on the Record card; feeds the ISIC stability check.</t>
        </is>
      </c>
      <c r="G8" s="5" t="inlineStr">
        <is>
          <t>4610</t>
        </is>
      </c>
    </row>
    <row r="9">
      <c r="A9" s="4" t="inlineStr">
        <is>
          <t>ISIC4_DESC_EN / ISIC4_DESC_AR</t>
        </is>
      </c>
      <c r="B9" s="4" t="inlineStr">
        <is>
          <t>Identification</t>
        </is>
      </c>
      <c r="C9" s="4" t="inlineStr">
        <is>
          <t>Optional</t>
        </is>
      </c>
      <c r="D9" s="4" t="inlineStr">
        <is>
          <t>Text</t>
        </is>
      </c>
      <c r="E9" s="4" t="inlineStr">
        <is>
          <t>All</t>
        </is>
      </c>
      <c r="F9" s="4" t="inlineStr">
        <is>
          <t>ISIC4 description; kept with the record.</t>
        </is>
      </c>
      <c r="G9" s="4" t="inlineStr">
        <is>
          <t>Wholesale trade</t>
        </is>
      </c>
    </row>
    <row r="10">
      <c r="A10" s="5" t="inlineStr">
        <is>
          <t>AUDITOR_NAME</t>
        </is>
      </c>
      <c r="B10" s="5" t="inlineStr">
        <is>
          <t>Assignment</t>
        </is>
      </c>
      <c r="C10" s="5" t="inlineStr">
        <is>
          <t>Optional</t>
        </is>
      </c>
      <c r="D10" s="5" t="inlineStr">
        <is>
          <t>Text</t>
        </is>
      </c>
      <c r="E10" s="5" t="inlineStr">
        <is>
          <t>All</t>
        </is>
      </c>
      <c r="F10" s="5" t="inlineStr">
        <is>
          <t>Auditor's display name (appears twice in each quarter; either copy works).</t>
        </is>
      </c>
      <c r="G10" s="5" t="inlineStr">
        <is>
          <t>Fatima Auditor</t>
        </is>
      </c>
    </row>
    <row r="11">
      <c r="A11" s="4" t="inlineStr">
        <is>
          <t>ENUMERATOR_NAME</t>
        </is>
      </c>
      <c r="B11" s="4" t="inlineStr">
        <is>
          <t>Assignment</t>
        </is>
      </c>
      <c r="C11" s="4" t="inlineStr">
        <is>
          <t>Optional</t>
        </is>
      </c>
      <c r="D11" s="4" t="inlineStr">
        <is>
          <t>Text</t>
        </is>
      </c>
      <c r="E11" s="4" t="inlineStr">
        <is>
          <t>All</t>
        </is>
      </c>
      <c r="F11" s="4" t="inlineStr">
        <is>
          <t>Enumerator / Key Account Manager display name.</t>
        </is>
      </c>
      <c r="G11" s="4" t="inlineStr">
        <is>
          <t>Ahmed Enumerator</t>
        </is>
      </c>
    </row>
    <row r="12">
      <c r="A12" s="5" t="inlineStr">
        <is>
          <t>Auditor_User_Name</t>
        </is>
      </c>
      <c r="B12" s="5" t="inlineStr">
        <is>
          <t>Assignment</t>
        </is>
      </c>
      <c r="C12" s="5" t="inlineStr">
        <is>
          <t>Required for Auditor role</t>
        </is>
      </c>
      <c r="D12" s="5" t="inlineStr">
        <is>
          <t>Text</t>
        </is>
      </c>
      <c r="E12" s="5" t="inlineStr">
        <is>
          <t>All</t>
        </is>
      </c>
      <c r="F12" s="5" t="inlineStr">
        <is>
          <t>Login username of the Auditor; drives row-level access, checked per quarter.</t>
        </is>
      </c>
      <c r="G12" s="5" t="inlineStr">
        <is>
          <t>auditor1</t>
        </is>
      </c>
    </row>
    <row r="13">
      <c r="A13" s="4" t="inlineStr">
        <is>
          <t>ENUMERATOR_User_name</t>
        </is>
      </c>
      <c r="B13" s="4" t="inlineStr">
        <is>
          <t>Assignment</t>
        </is>
      </c>
      <c r="C13" s="4" t="inlineStr">
        <is>
          <t>Required for Enumerator role</t>
        </is>
      </c>
      <c r="D13" s="4" t="inlineStr">
        <is>
          <t>Text</t>
        </is>
      </c>
      <c r="E13" s="4" t="inlineStr">
        <is>
          <t>All</t>
        </is>
      </c>
      <c r="F13" s="4" t="inlineStr">
        <is>
          <t>Login username of the Enumerator / Key Account Manager.</t>
        </is>
      </c>
      <c r="G13" s="4" t="inlineStr">
        <is>
          <t>enum1</t>
        </is>
      </c>
    </row>
    <row r="14">
      <c r="A14" s="5" t="inlineStr">
        <is>
          <t>AUD_Supervisor_USER_Name</t>
        </is>
      </c>
      <c r="B14" s="5" t="inlineStr">
        <is>
          <t>Assignment</t>
        </is>
      </c>
      <c r="C14" s="5" t="inlineStr">
        <is>
          <t>Required for Supervisor role</t>
        </is>
      </c>
      <c r="D14" s="5" t="inlineStr">
        <is>
          <t>Text</t>
        </is>
      </c>
      <c r="E14" s="5" t="inlineStr">
        <is>
          <t>All</t>
        </is>
      </c>
      <c r="F14" s="5" t="inlineStr">
        <is>
          <t>Username of the auditor's supervisor; the Record card shows the supervisor's name from the account list.</t>
        </is>
      </c>
      <c r="G14" s="5" t="inlineStr">
        <is>
          <t>sup1</t>
        </is>
      </c>
    </row>
    <row r="15">
      <c r="A15" s="4" t="inlineStr">
        <is>
          <t>ENU_Supervisor_User_Name</t>
        </is>
      </c>
      <c r="B15" s="4" t="inlineStr">
        <is>
          <t>Assignment</t>
        </is>
      </c>
      <c r="C15" s="4" t="inlineStr">
        <is>
          <t>Optional</t>
        </is>
      </c>
      <c r="D15" s="4" t="inlineStr">
        <is>
          <t>Text</t>
        </is>
      </c>
      <c r="E15" s="4" t="inlineStr">
        <is>
          <t>All</t>
        </is>
      </c>
      <c r="F15" s="4" t="inlineStr">
        <is>
          <t>Username of the enumerator's supervisor; also gives that Supervisor access.</t>
        </is>
      </c>
      <c r="G15" s="4" t="inlineStr">
        <is>
          <t>sup1</t>
        </is>
      </c>
    </row>
    <row r="16" ht="20" customHeight="1">
      <c r="A16" s="2" t="inlineStr">
        <is>
          <t>Per-quarter asset equation inputs — prefix each with the quarter, e.g. Q3_2026_Total_Equity</t>
        </is>
      </c>
      <c r="B16" s="3" t="n"/>
      <c r="C16" s="3" t="n"/>
      <c r="D16" s="3" t="n"/>
      <c r="E16" s="3" t="n"/>
      <c r="F16" s="3" t="n"/>
      <c r="G16" s="3" t="n"/>
    </row>
    <row r="17">
      <c r="A17" s="4" t="inlineStr">
        <is>
          <t>Total_of_Current_Assets</t>
        </is>
      </c>
      <c r="B17" s="4" t="inlineStr">
        <is>
          <t>Financial input</t>
        </is>
      </c>
      <c r="C17" s="4" t="inlineStr">
        <is>
          <t>Required</t>
        </is>
      </c>
      <c r="D17" s="4" t="inlineStr">
        <is>
          <t>Number</t>
        </is>
      </c>
      <c r="E17" s="4" t="inlineStr">
        <is>
          <t>All</t>
        </is>
      </c>
      <c r="F17" s="4" t="inlineStr">
        <is>
          <t>Total current assets at the end of the quarter.</t>
        </is>
      </c>
      <c r="G17" s="4" t="inlineStr">
        <is>
          <t>313,600</t>
        </is>
      </c>
    </row>
    <row r="18">
      <c r="A18" s="5" t="inlineStr">
        <is>
          <t>Total_of _Non-Current_Assets</t>
        </is>
      </c>
      <c r="B18" s="5" t="inlineStr">
        <is>
          <t>Financial input</t>
        </is>
      </c>
      <c r="C18" s="5" t="inlineStr">
        <is>
          <t>Required</t>
        </is>
      </c>
      <c r="D18" s="5" t="inlineStr">
        <is>
          <t>Number</t>
        </is>
      </c>
      <c r="E18" s="5" t="inlineStr">
        <is>
          <t>All</t>
        </is>
      </c>
      <c r="F18" s="5" t="inlineStr">
        <is>
          <t>Total non-current assets. (The 20-10 layout's Q1 2026 copy has no quarter prefix; the tool attaches it to Q1 2026 by its position.)</t>
        </is>
      </c>
      <c r="G18" s="5" t="inlineStr">
        <is>
          <t>537,600</t>
        </is>
      </c>
    </row>
    <row r="19">
      <c r="A19" s="4" t="inlineStr">
        <is>
          <t>Total_of_Current_Liabilities</t>
        </is>
      </c>
      <c r="B19" s="4" t="inlineStr">
        <is>
          <t>Financial input</t>
        </is>
      </c>
      <c r="C19" s="4" t="inlineStr">
        <is>
          <t>Required</t>
        </is>
      </c>
      <c r="D19" s="4" t="inlineStr">
        <is>
          <t>Number</t>
        </is>
      </c>
      <c r="E19" s="4" t="inlineStr">
        <is>
          <t>All</t>
        </is>
      </c>
      <c r="F19" s="4" t="inlineStr">
        <is>
          <t>Total current liabilities.</t>
        </is>
      </c>
      <c r="G19" s="4" t="inlineStr">
        <is>
          <t>156,800</t>
        </is>
      </c>
    </row>
    <row r="20">
      <c r="A20" s="5" t="inlineStr">
        <is>
          <t>Total_of_Long-Term_Liabilities</t>
        </is>
      </c>
      <c r="B20" s="5" t="inlineStr">
        <is>
          <t>Financial input</t>
        </is>
      </c>
      <c r="C20" s="5" t="inlineStr">
        <is>
          <t>Required</t>
        </is>
      </c>
      <c r="D20" s="5" t="inlineStr">
        <is>
          <t>Number</t>
        </is>
      </c>
      <c r="E20" s="5" t="inlineStr">
        <is>
          <t>All</t>
        </is>
      </c>
      <c r="F20" s="5" t="inlineStr">
        <is>
          <t>Total long-term (non-current) liabilities.</t>
        </is>
      </c>
      <c r="G20" s="5" t="inlineStr">
        <is>
          <t>212,800</t>
        </is>
      </c>
    </row>
    <row r="21">
      <c r="A21" s="4" t="inlineStr">
        <is>
          <t>Total_Equity</t>
        </is>
      </c>
      <c r="B21" s="4" t="inlineStr">
        <is>
          <t>Financial input</t>
        </is>
      </c>
      <c r="C21" s="4" t="inlineStr">
        <is>
          <t>Required</t>
        </is>
      </c>
      <c r="D21" s="4" t="inlineStr">
        <is>
          <t>Number</t>
        </is>
      </c>
      <c r="E21" s="4" t="inlineStr">
        <is>
          <t>All</t>
        </is>
      </c>
      <c r="F21" s="4" t="inlineStr">
        <is>
          <t>Equity as reported on the survey form; the anchor value the calculation is checked against.</t>
        </is>
      </c>
      <c r="G21" s="4" t="inlineStr">
        <is>
          <t>481,600</t>
        </is>
      </c>
    </row>
    <row r="22">
      <c r="A22" s="5" t="inlineStr">
        <is>
          <t>7.2_Paid-up _Capital_Stock</t>
        </is>
      </c>
      <c r="B22" s="5" t="inlineStr">
        <is>
          <t>Financial input</t>
        </is>
      </c>
      <c r="C22" s="5" t="inlineStr">
        <is>
          <t>Required</t>
        </is>
      </c>
      <c r="D22" s="5" t="inlineStr">
        <is>
          <t>Number</t>
        </is>
      </c>
      <c r="E22" s="5" t="inlineStr">
        <is>
          <t>All</t>
        </is>
      </c>
      <c r="F22" s="5" t="inlineStr">
        <is>
          <t>Paid-up capital (form item 7.2).</t>
        </is>
      </c>
      <c r="G22" s="5" t="inlineStr">
        <is>
          <t>288,960</t>
        </is>
      </c>
    </row>
    <row r="23">
      <c r="A23" s="4" t="inlineStr">
        <is>
          <t>7.3_Other_Equity</t>
        </is>
      </c>
      <c r="B23" s="4" t="inlineStr">
        <is>
          <t>Financial input</t>
        </is>
      </c>
      <c r="C23" s="4" t="inlineStr">
        <is>
          <t>Required</t>
        </is>
      </c>
      <c r="D23" s="4" t="inlineStr">
        <is>
          <t>Number</t>
        </is>
      </c>
      <c r="E23" s="4" t="inlineStr">
        <is>
          <t>All</t>
        </is>
      </c>
      <c r="F23" s="4" t="inlineStr">
        <is>
          <t>Other equity (form item 7.3).</t>
        </is>
      </c>
      <c r="G23" s="4" t="inlineStr">
        <is>
          <t>192,640</t>
        </is>
      </c>
    </row>
    <row r="24">
      <c r="A24" s="5" t="inlineStr">
        <is>
          <t>EQ_Q7_7_1</t>
        </is>
      </c>
      <c r="B24" s="5" t="inlineStr">
        <is>
          <t>Financial input</t>
        </is>
      </c>
      <c r="C24" s="5" t="inlineStr">
        <is>
          <t>Optional</t>
        </is>
      </c>
      <c r="D24" s="5" t="inlineStr">
        <is>
          <t>Number</t>
        </is>
      </c>
      <c r="E24" s="5" t="inlineStr">
        <is>
          <t>All</t>
        </is>
      </c>
      <c r="F24" s="5" t="inlineStr">
        <is>
          <t>Equity item 7.1. Together with 7.2 and 7.3 it adds up to Total_Equity; counted as 0 when the file doesn't have it.</t>
        </is>
      </c>
      <c r="G24" s="5" t="inlineStr">
        <is>
          <t>0</t>
        </is>
      </c>
    </row>
    <row r="25" ht="20" customHeight="1">
      <c r="A25" s="2" t="inlineStr">
        <is>
          <t>Form items (optional, display only) — the 20-10 layout carries them for the two latest quarters</t>
        </is>
      </c>
      <c r="B25" s="3" t="n"/>
      <c r="C25" s="3" t="n"/>
      <c r="D25" s="3" t="n"/>
      <c r="E25" s="3" t="n"/>
      <c r="F25" s="3" t="n"/>
      <c r="G25" s="3" t="n"/>
    </row>
    <row r="26">
      <c r="A26" s="5" t="inlineStr">
        <is>
          <t>CURR_AS_Q3_D / CURR_AS_Q3_E</t>
        </is>
      </c>
      <c r="B26" s="5" t="inlineStr">
        <is>
          <t>Form item</t>
        </is>
      </c>
      <c r="C26" s="5" t="inlineStr">
        <is>
          <t>Optional</t>
        </is>
      </c>
      <c r="D26" s="5" t="inlineStr">
        <is>
          <t>Number</t>
        </is>
      </c>
      <c r="E26" s="5" t="inlineStr">
        <is>
          <t>All</t>
        </is>
      </c>
      <c r="F26" s="5" t="inlineStr">
        <is>
          <t>Current-asset items D and E (form Q3). Part of Total_of_Current_Assets, never added into it.</t>
        </is>
      </c>
      <c r="G26" s="5" t="inlineStr">
        <is>
          <t>109,760 / 156,800</t>
        </is>
      </c>
    </row>
    <row r="27">
      <c r="A27" s="4" t="inlineStr">
        <is>
          <t>NCURR_AS_Q4_D / NCURR_AS_Q4_E</t>
        </is>
      </c>
      <c r="B27" s="4" t="inlineStr">
        <is>
          <t>Form item</t>
        </is>
      </c>
      <c r="C27" s="4" t="inlineStr">
        <is>
          <t>Optional</t>
        </is>
      </c>
      <c r="D27" s="4" t="inlineStr">
        <is>
          <t>Number</t>
        </is>
      </c>
      <c r="E27" s="4" t="inlineStr">
        <is>
          <t>All</t>
        </is>
      </c>
      <c r="F27" s="4" t="inlineStr">
        <is>
          <t>Non-current-asset items D and E (form Q4).</t>
        </is>
      </c>
      <c r="G27" s="4" t="inlineStr">
        <is>
          <t>322,560 / 161,280</t>
        </is>
      </c>
    </row>
    <row r="28">
      <c r="A28" s="5" t="inlineStr">
        <is>
          <t>CURR_LIAB_Q5C / CURR_LIAB_Q5D</t>
        </is>
      </c>
      <c r="B28" s="5" t="inlineStr">
        <is>
          <t>Form item</t>
        </is>
      </c>
      <c r="C28" s="5" t="inlineStr">
        <is>
          <t>Optional</t>
        </is>
      </c>
      <c r="D28" s="5" t="inlineStr">
        <is>
          <t>Number</t>
        </is>
      </c>
      <c r="E28" s="5" t="inlineStr">
        <is>
          <t>All</t>
        </is>
      </c>
      <c r="F28" s="5" t="inlineStr">
        <is>
          <t>Current-liability items C and D (form Q5).</t>
        </is>
      </c>
      <c r="G28" s="5" t="inlineStr">
        <is>
          <t>78,400 / 47,040</t>
        </is>
      </c>
    </row>
    <row r="29">
      <c r="A29" s="4" t="inlineStr">
        <is>
          <t>LNG_LIAB_Q6C / LNG_LIAB_Q6D</t>
        </is>
      </c>
      <c r="B29" s="4" t="inlineStr">
        <is>
          <t>Form item</t>
        </is>
      </c>
      <c r="C29" s="4" t="inlineStr">
        <is>
          <t>Optional</t>
        </is>
      </c>
      <c r="D29" s="4" t="inlineStr">
        <is>
          <t>Number</t>
        </is>
      </c>
      <c r="E29" s="4" t="inlineStr">
        <is>
          <t>All</t>
        </is>
      </c>
      <c r="F29" s="4" t="inlineStr">
        <is>
          <t>Long-term-liability items C and D (form Q6).</t>
        </is>
      </c>
      <c r="G29" s="4" t="inlineStr">
        <is>
          <t>117,040 / 53,200</t>
        </is>
      </c>
    </row>
    <row r="30">
      <c r="A30" s="5" t="inlineStr">
        <is>
          <t>…_PREV (e.g. CURR_AS_Q3_D_PREV)</t>
        </is>
      </c>
      <c r="B30" s="5" t="inlineStr">
        <is>
          <t>Form item</t>
        </is>
      </c>
      <c r="C30" s="5" t="inlineStr">
        <is>
          <t>Optional</t>
        </is>
      </c>
      <c r="D30" s="5" t="inlineStr">
        <is>
          <t>Number</t>
        </is>
      </c>
      <c r="E30" s="5" t="inlineStr">
        <is>
          <t>All</t>
        </is>
      </c>
      <c r="F30" s="5" t="inlineStr">
        <is>
          <t>The same item's previous-period value, shown under it.</t>
        </is>
      </c>
      <c r="G30" s="5" t="inlineStr">
        <is>
          <t>93,100</t>
        </is>
      </c>
    </row>
    <row r="31">
      <c r="A31" s="4" t="inlineStr">
        <is>
          <t>EQ_Q7_TOTAL_PREV / EQ_Q7_7_3_VAL_PREV</t>
        </is>
      </c>
      <c r="B31" s="4" t="inlineStr">
        <is>
          <t>Form item</t>
        </is>
      </c>
      <c r="C31" s="4" t="inlineStr">
        <is>
          <t>Optional</t>
        </is>
      </c>
      <c r="D31" s="4" t="inlineStr">
        <is>
          <t>Number</t>
        </is>
      </c>
      <c r="E31" s="4" t="inlineStr">
        <is>
          <t>All</t>
        </is>
      </c>
      <c r="F31" s="4" t="inlineStr">
        <is>
          <t>Previous-period total equity (7) and other equity (7.3). Shown under Equity in form and 7.3 on the calculation and comparison pages; not part of any check.</t>
        </is>
      </c>
      <c r="G31" s="4" t="inlineStr">
        <is>
          <t>470,000 / 185,000</t>
        </is>
      </c>
    </row>
    <row r="32" ht="20" customHeight="1">
      <c r="A32" s="2" t="inlineStr">
        <is>
          <t>Calculated outputs (produced by the tool — do not upload these)</t>
        </is>
      </c>
      <c r="B32" s="3" t="n"/>
      <c r="C32" s="3" t="n"/>
      <c r="D32" s="3" t="n"/>
      <c r="E32" s="3" t="n"/>
      <c r="F32" s="3" t="n"/>
      <c r="G32" s="3" t="n"/>
    </row>
    <row r="33">
      <c r="A33" s="4" t="inlineStr">
        <is>
          <t>Total Assets</t>
        </is>
      </c>
      <c r="B33" s="4" t="inlineStr">
        <is>
          <t>Calculated</t>
        </is>
      </c>
      <c r="C33" s="4" t="inlineStr">
        <is>
          <t>—</t>
        </is>
      </c>
      <c r="D33" s="4" t="inlineStr">
        <is>
          <t>Number</t>
        </is>
      </c>
      <c r="E33" s="4" t="inlineStr">
        <is>
          <t>All</t>
        </is>
      </c>
      <c r="F33" s="4">
        <f> Total_of_Current_Assets + Total_of_Non-Current_Assets.</f>
        <v/>
      </c>
      <c r="G33" s="4" t="inlineStr">
        <is>
          <t>851,200</t>
        </is>
      </c>
    </row>
    <row r="34">
      <c r="A34" s="5" t="inlineStr">
        <is>
          <t>Total Liabilities</t>
        </is>
      </c>
      <c r="B34" s="5" t="inlineStr">
        <is>
          <t>Calculated</t>
        </is>
      </c>
      <c r="C34" s="5" t="inlineStr">
        <is>
          <t>—</t>
        </is>
      </c>
      <c r="D34" s="5" t="inlineStr">
        <is>
          <t>Number</t>
        </is>
      </c>
      <c r="E34" s="5" t="inlineStr">
        <is>
          <t>All</t>
        </is>
      </c>
      <c r="F34" s="5">
        <f> Total_of_Current_Liabilities + Total_of_Long-Term_Liabilities.</f>
        <v/>
      </c>
      <c r="G34" s="5" t="inlineStr">
        <is>
          <t>369,600</t>
        </is>
      </c>
    </row>
    <row r="35">
      <c r="A35" s="4" t="inlineStr">
        <is>
          <t>Calculated Equity</t>
        </is>
      </c>
      <c r="B35" s="4" t="inlineStr">
        <is>
          <t>Calculated</t>
        </is>
      </c>
      <c r="C35" s="4" t="inlineStr">
        <is>
          <t>—</t>
        </is>
      </c>
      <c r="D35" s="4" t="inlineStr">
        <is>
          <t>Number</t>
        </is>
      </c>
      <c r="E35" s="4" t="inlineStr">
        <is>
          <t>All</t>
        </is>
      </c>
      <c r="F35" s="4">
        <f> Total Assets − Total Liabilities.</f>
        <v/>
      </c>
      <c r="G35" s="4" t="inlineStr">
        <is>
          <t>481,600</t>
        </is>
      </c>
    </row>
    <row r="36">
      <c r="A36" s="5" t="inlineStr">
        <is>
          <t>Equation Difference</t>
        </is>
      </c>
      <c r="B36" s="5" t="inlineStr">
        <is>
          <t>Calculated</t>
        </is>
      </c>
      <c r="C36" s="5" t="inlineStr">
        <is>
          <t>—</t>
        </is>
      </c>
      <c r="D36" s="5" t="inlineStr">
        <is>
          <t>Number</t>
        </is>
      </c>
      <c r="E36" s="5" t="inlineStr">
        <is>
          <t>All</t>
        </is>
      </c>
      <c r="F36" s="5">
        <f> Calculated Equity − Total_Equity. Should be ~0.</f>
        <v/>
      </c>
      <c r="G36" s="5" t="inlineStr">
        <is>
          <t>0</t>
        </is>
      </c>
    </row>
    <row r="37">
      <c r="A37" s="4" t="inlineStr">
        <is>
          <t>7.1 + 7.2 + 7.3 Total</t>
        </is>
      </c>
      <c r="B37" s="4" t="inlineStr">
        <is>
          <t>Calculated</t>
        </is>
      </c>
      <c r="C37" s="4" t="inlineStr">
        <is>
          <t>—</t>
        </is>
      </c>
      <c r="D37" s="4" t="inlineStr">
        <is>
          <t>Number</t>
        </is>
      </c>
      <c r="E37" s="4" t="inlineStr">
        <is>
          <t>All</t>
        </is>
      </c>
      <c r="F37" s="4">
        <f> EQ_Q7_7_1 + 7.2_Paid-up_Capital_Stock + 7.3_Other_Equity.</f>
        <v/>
      </c>
      <c r="G37" s="4" t="inlineStr">
        <is>
          <t>481,600</t>
        </is>
      </c>
    </row>
    <row r="38">
      <c r="A38" s="5" t="inlineStr">
        <is>
          <t>7.1 + 7.2 + 7.3 Difference / Status</t>
        </is>
      </c>
      <c r="B38" s="5" t="inlineStr">
        <is>
          <t>Calculated</t>
        </is>
      </c>
      <c r="C38" s="5" t="inlineStr">
        <is>
          <t>—</t>
        </is>
      </c>
      <c r="D38" s="5" t="inlineStr">
        <is>
          <t>Number/Text</t>
        </is>
      </c>
      <c r="E38" s="5" t="inlineStr">
        <is>
          <t>All</t>
        </is>
      </c>
      <c r="F38" s="5">
        <f> (7.1+7.2+7.3) − Total_Equity; status 'Correct' if within 0.01, else 'Flag / review'.</f>
        <v/>
      </c>
      <c r="G38" s="5" t="inlineStr">
        <is>
          <t>0 / Correct</t>
        </is>
      </c>
    </row>
    <row r="39">
      <c r="A39" s="4" t="inlineStr">
        <is>
          <t>Status</t>
        </is>
      </c>
      <c r="B39" s="4" t="inlineStr">
        <is>
          <t>Calculated</t>
        </is>
      </c>
      <c r="C39" s="4" t="inlineStr">
        <is>
          <t>—</t>
        </is>
      </c>
      <c r="D39" s="4" t="inlineStr">
        <is>
          <t>Text</t>
        </is>
      </c>
      <c r="E39" s="4" t="inlineStr">
        <is>
          <t>All</t>
        </is>
      </c>
      <c r="F39" s="4" t="inlineStr">
        <is>
          <t>'Balanced' if both the Equation Difference and the 7.1+7.2+7.3 check are within 0.01, else 'Needs review'.</t>
        </is>
      </c>
      <c r="G39" s="4" t="inlineStr">
        <is>
          <t>Balanced</t>
        </is>
      </c>
    </row>
  </sheetData>
  <autoFilter ref="A1:G39"/>
  <mergeCells count="4">
    <mergeCell ref="A32:G32"/>
    <mergeCell ref="A16:G16"/>
    <mergeCell ref="A2:G2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0" customWidth="1" min="4" max="4"/>
    <col width="24" customWidth="1" min="5" max="5"/>
    <col width="55" customWidth="1" min="6" max="6"/>
    <col width="16" customWidth="1" min="7" max="7"/>
  </cols>
  <sheetData>
    <row r="1" ht="28" customHeight="1">
      <c r="A1" s="1" t="inlineStr">
        <is>
          <t>Variable / Column name</t>
        </is>
      </c>
      <c r="B1" s="1" t="inlineStr">
        <is>
          <t>Category</t>
        </is>
      </c>
      <c r="C1" s="1" t="inlineStr">
        <is>
          <t>Required?</t>
        </is>
      </c>
      <c r="D1" s="1" t="inlineStr">
        <is>
          <t>Data type</t>
        </is>
      </c>
      <c r="E1" s="1" t="inlineStr">
        <is>
          <t>Applies to (business type)</t>
        </is>
      </c>
      <c r="F1" s="1" t="inlineStr">
        <is>
          <t>Description</t>
        </is>
      </c>
      <c r="G1" s="1" t="inlineStr">
        <is>
          <t>Example value</t>
        </is>
      </c>
    </row>
    <row r="2" ht="20" customHeight="1">
      <c r="A2" s="2" t="inlineStr">
        <is>
          <t>How comparison works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Frame ID / License Number</t>
        </is>
      </c>
      <c r="B3" s="4" t="inlineStr">
        <is>
          <t>Selection</t>
        </is>
      </c>
      <c r="C3" s="4" t="inlineStr">
        <is>
          <t>Required</t>
        </is>
      </c>
      <c r="D3" s="4" t="inlineStr">
        <is>
          <t>Text</t>
        </is>
      </c>
      <c r="E3" s="4" t="inlineStr">
        <is>
          <t>All</t>
        </is>
      </c>
      <c r="F3" s="4" t="inlineStr">
        <is>
          <t>Pick a Frame ID or a License Number. Every Frame ID sharing that licence number is combined, each quarter from the Frame ID that reported it, and compared across 2 or more quarters.</t>
        </is>
      </c>
      <c r="G3" s="4" t="inlineStr">
        <is>
          <t>F101</t>
        </is>
      </c>
    </row>
    <row r="4">
      <c r="A4" s="5" t="inlineStr">
        <is>
          <t>Selected periods</t>
        </is>
      </c>
      <c r="B4" s="5" t="inlineStr">
        <is>
          <t>Selection</t>
        </is>
      </c>
      <c r="C4" s="5" t="inlineStr">
        <is>
          <t>Required</t>
        </is>
      </c>
      <c r="D4" s="5" t="inlineStr">
        <is>
          <t>List</t>
        </is>
      </c>
      <c r="E4" s="5" t="inlineStr">
        <is>
          <t>All</t>
        </is>
      </c>
      <c r="F4" s="5" t="inlineStr">
        <is>
          <t>Every quarter present for that Frame ID is selectable; pick 2+ to compare.</t>
        </is>
      </c>
      <c r="G4" s="5" t="inlineStr">
        <is>
          <t>Q2_2026, Q3_2026</t>
        </is>
      </c>
    </row>
    <row r="5" ht="20" customHeight="1">
      <c r="A5" s="2" t="inlineStr">
        <is>
          <t>Table 1 — Asset equation comparison (one row per selected quarter)</t>
        </is>
      </c>
      <c r="B5" s="3" t="n"/>
      <c r="C5" s="3" t="n"/>
      <c r="D5" s="3" t="n"/>
      <c r="E5" s="3" t="n"/>
      <c r="F5" s="3" t="n"/>
      <c r="G5" s="3" t="n"/>
    </row>
    <row r="6">
      <c r="A6" s="5" t="inlineStr">
        <is>
          <t>Current assets / Non-current assets / Total assets</t>
        </is>
      </c>
      <c r="B6" s="5" t="inlineStr">
        <is>
          <t>Asset equation</t>
        </is>
      </c>
      <c r="C6" s="5" t="inlineStr">
        <is>
          <t>Calculated</t>
        </is>
      </c>
      <c r="D6" s="5" t="inlineStr">
        <is>
          <t>Number</t>
        </is>
      </c>
      <c r="E6" s="5" t="inlineStr">
        <is>
          <t>All</t>
        </is>
      </c>
      <c r="F6" s="5" t="inlineStr">
        <is>
          <t>Same fields as the single-quarter calculation.</t>
        </is>
      </c>
      <c r="G6" s="5" t="inlineStr">
        <is>
          <t>313,600 / 537,600 / 851,200</t>
        </is>
      </c>
    </row>
    <row r="7">
      <c r="A7" s="4" t="inlineStr">
        <is>
          <t>Current liabilities / Non-current liabilities / Total liabilities</t>
        </is>
      </c>
      <c r="B7" s="4" t="inlineStr">
        <is>
          <t>Asset equation</t>
        </is>
      </c>
      <c r="C7" s="4" t="inlineStr">
        <is>
          <t>Calculated</t>
        </is>
      </c>
      <c r="D7" s="4" t="inlineStr">
        <is>
          <t>Number</t>
        </is>
      </c>
      <c r="E7" s="4" t="inlineStr">
        <is>
          <t>All</t>
        </is>
      </c>
      <c r="F7" s="4" t="inlineStr">
        <is>
          <t>Same fields as the single-quarter calculation.</t>
        </is>
      </c>
      <c r="G7" s="4" t="inlineStr">
        <is>
          <t>156,800 / 212,800 / 369,600</t>
        </is>
      </c>
    </row>
    <row r="8">
      <c r="A8" s="5" t="inlineStr">
        <is>
          <t>Calculated equity / Equity in form / Difference</t>
        </is>
      </c>
      <c r="B8" s="5" t="inlineStr">
        <is>
          <t>Asset equation</t>
        </is>
      </c>
      <c r="C8" s="5" t="inlineStr">
        <is>
          <t>Calculated</t>
        </is>
      </c>
      <c r="D8" s="5" t="inlineStr">
        <is>
          <t>Number</t>
        </is>
      </c>
      <c r="E8" s="5" t="inlineStr">
        <is>
          <t>All</t>
        </is>
      </c>
      <c r="F8" s="5" t="inlineStr">
        <is>
          <t>Same fields as the single-quarter calculation.</t>
        </is>
      </c>
      <c r="G8" s="5" t="inlineStr">
        <is>
          <t>481,600 / 481,600 / 0</t>
        </is>
      </c>
    </row>
    <row r="9" ht="20" customHeight="1">
      <c r="A9" s="2" t="inlineStr">
        <is>
          <t>Table 2 — Beginning vs end of period (only when the file has opening balances)</t>
        </is>
      </c>
      <c r="B9" s="3" t="n"/>
      <c r="C9" s="3" t="n"/>
      <c r="D9" s="3" t="n"/>
      <c r="E9" s="3" t="n"/>
      <c r="F9" s="3" t="n"/>
      <c r="G9" s="3" t="n"/>
    </row>
    <row r="10">
      <c r="A10" s="5" t="inlineStr">
        <is>
          <t>…_Begining_Of_period / …_End_of_period</t>
        </is>
      </c>
      <c r="B10" s="5" t="inlineStr">
        <is>
          <t>Asset equation</t>
        </is>
      </c>
      <c r="C10" s="5" t="inlineStr">
        <is>
          <t>Optional</t>
        </is>
      </c>
      <c r="D10" s="5" t="inlineStr">
        <is>
          <t>Number</t>
        </is>
      </c>
      <c r="E10" s="5" t="inlineStr">
        <is>
          <t>All</t>
        </is>
      </c>
      <c r="F10" s="5" t="inlineStr">
        <is>
          <t>The 20-10 layout has closing totals only, so this table is hidden for it. Files that do carry opening balances get the asset equation at both points and the movement between them.</t>
        </is>
      </c>
      <c r="G10" s="5" t="inlineStr">
        <is>
          <t>—</t>
        </is>
      </c>
    </row>
    <row r="11" ht="20" customHeight="1">
      <c r="A11" s="2" t="inlineStr">
        <is>
          <t>Table 3 — ISIC classification stability</t>
        </is>
      </c>
      <c r="B11" s="3" t="n"/>
      <c r="C11" s="3" t="n"/>
      <c r="D11" s="3" t="n"/>
      <c r="E11" s="3" t="n"/>
      <c r="F11" s="3" t="n"/>
      <c r="G11" s="3" t="n"/>
    </row>
    <row r="12">
      <c r="A12" s="5" t="inlineStr">
        <is>
          <t>ISIC4 per quarter</t>
        </is>
      </c>
      <c r="B12" s="5" t="inlineStr">
        <is>
          <t>Classification</t>
        </is>
      </c>
      <c r="C12" s="5" t="inlineStr">
        <is>
          <t>Financial input</t>
        </is>
      </c>
      <c r="D12" s="5" t="inlineStr">
        <is>
          <t>Text</t>
        </is>
      </c>
      <c r="E12" s="5" t="inlineStr">
        <is>
          <t>All</t>
        </is>
      </c>
      <c r="F12" s="5" t="inlineStr">
        <is>
          <t>Each quarter's ISIC4; flagged red when it changes. Also cross-checked against the annual FIS file's {YYYY}_ISIC4.</t>
        </is>
      </c>
      <c r="G12" s="5" t="inlineStr">
        <is>
          <t>4610</t>
        </is>
      </c>
    </row>
    <row r="13" ht="20" customHeight="1">
      <c r="A13" s="2" t="inlineStr">
        <is>
          <t>Table 4 — Equity details (one row per selected quarter)</t>
        </is>
      </c>
      <c r="B13" s="3" t="n"/>
      <c r="C13" s="3" t="n"/>
      <c r="D13" s="3" t="n"/>
      <c r="E13" s="3" t="n"/>
      <c r="F13" s="3" t="n"/>
      <c r="G13" s="3" t="n"/>
    </row>
    <row r="14">
      <c r="A14" s="5" t="inlineStr">
        <is>
          <t>7.1 / 7.2 Paid-up capital / 7.3 Other equity</t>
        </is>
      </c>
      <c r="B14" s="5" t="inlineStr">
        <is>
          <t>Equity details</t>
        </is>
      </c>
      <c r="C14" s="5" t="inlineStr">
        <is>
          <t>Financial input</t>
        </is>
      </c>
      <c r="D14" s="5" t="inlineStr">
        <is>
          <t>Number</t>
        </is>
      </c>
      <c r="E14" s="5" t="inlineStr">
        <is>
          <t>All</t>
        </is>
      </c>
      <c r="F14" s="5" t="inlineStr">
        <is>
          <t>The three equity items for that quarter; 7.3 also shows its previous-period value (EQ_Q7_7_3_VAL_PREV).</t>
        </is>
      </c>
      <c r="G14" s="5" t="inlineStr">
        <is>
          <t>0 / 288,960 / 192,640</t>
        </is>
      </c>
    </row>
    <row r="15">
      <c r="A15" s="4" t="inlineStr">
        <is>
          <t>7.1+7.2+7.3 / Equity in form / Diff / Status</t>
        </is>
      </c>
      <c r="B15" s="4" t="inlineStr">
        <is>
          <t>Equity details</t>
        </is>
      </c>
      <c r="C15" s="4" t="inlineStr">
        <is>
          <t>Calculated</t>
        </is>
      </c>
      <c r="D15" s="4" t="inlineStr">
        <is>
          <t>Number/Text</t>
        </is>
      </c>
      <c r="E15" s="4" t="inlineStr">
        <is>
          <t>All</t>
        </is>
      </c>
      <c r="F15" s="4" t="inlineStr">
        <is>
          <t>Same check as the single-quarter calculation. Equity in form also shows its previous-period value (EQ_Q7_TOTAL_PREV).</t>
        </is>
      </c>
      <c r="G15" s="4" t="inlineStr">
        <is>
          <t>481,600 / 481,600 / 0 / Correct</t>
        </is>
      </c>
    </row>
    <row r="16" ht="20" customHeight="1">
      <c r="A16" s="2" t="inlineStr">
        <is>
          <t>Table 5 — Validation (one row per selected quarter)</t>
        </is>
      </c>
      <c r="B16" s="3" t="n"/>
      <c r="C16" s="3" t="n"/>
      <c r="D16" s="3" t="n"/>
      <c r="E16" s="3" t="n"/>
      <c r="F16" s="3" t="n"/>
      <c r="G16" s="3" t="n"/>
    </row>
    <row r="17">
      <c r="A17" s="4" t="inlineStr">
        <is>
          <t>Equation difference / Status</t>
        </is>
      </c>
      <c r="B17" s="4" t="inlineStr">
        <is>
          <t>Validation</t>
        </is>
      </c>
      <c r="C17" s="4" t="inlineStr">
        <is>
          <t>Calculated</t>
        </is>
      </c>
      <c r="D17" s="4" t="inlineStr">
        <is>
          <t>Number/Text</t>
        </is>
      </c>
      <c r="E17" s="4" t="inlineStr">
        <is>
          <t>All</t>
        </is>
      </c>
      <c r="F17" s="4" t="inlineStr">
        <is>
          <t>The equation difference and the overall Balanced / Needs review status.</t>
        </is>
      </c>
      <c r="G17" s="4" t="inlineStr">
        <is>
          <t>0 / Balanced</t>
        </is>
      </c>
    </row>
    <row r="18" ht="20" customHeight="1">
      <c r="A18" s="2" t="inlineStr">
        <is>
          <t>Table 6 — ±30% movement flag</t>
        </is>
      </c>
      <c r="B18" s="3" t="n"/>
      <c r="C18" s="3" t="n"/>
      <c r="D18" s="3" t="n"/>
      <c r="E18" s="3" t="n"/>
      <c r="F18" s="3" t="n"/>
      <c r="G18" s="3" t="n"/>
    </row>
    <row r="19">
      <c r="A19" s="4" t="inlineStr">
        <is>
          <t>Current / Non-current assets, Current / Non-current liabilities, Equity</t>
        </is>
      </c>
      <c r="B19" s="4" t="inlineStr">
        <is>
          <t>Validation</t>
        </is>
      </c>
      <c r="C19" s="4" t="inlineStr">
        <is>
          <t>Calculated</t>
        </is>
      </c>
      <c r="D19" s="4" t="inlineStr">
        <is>
          <t>Percent</t>
        </is>
      </c>
      <c r="E19" s="4" t="inlineStr">
        <is>
          <t>All</t>
        </is>
      </c>
      <c r="F19" s="4" t="inlineStr">
        <is>
          <t>Flags any of the five totals that moved more than 30% since the previous selected quarter.</t>
        </is>
      </c>
      <c r="G19" s="4" t="inlineStr">
        <is>
          <t>+34% (flagged)</t>
        </is>
      </c>
    </row>
  </sheetData>
  <autoFilter ref="A1:G19"/>
  <mergeCells count="7">
    <mergeCell ref="A13:G13"/>
    <mergeCell ref="A9:G9"/>
    <mergeCell ref="A18:G18"/>
    <mergeCell ref="A2:G2"/>
    <mergeCell ref="A16:G16"/>
    <mergeCell ref="A11:G11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</cols>
  <sheetData>
    <row r="1">
      <c r="A1" s="6" t="inlineStr">
        <is>
          <t>FRAME_ID</t>
        </is>
      </c>
      <c r="B1" s="6" t="inlineStr">
        <is>
          <t>ESTABLISHMENT_NAME</t>
        </is>
      </c>
      <c r="C1" s="6" t="inlineStr">
        <is>
          <t>Q3_2026_YEAR</t>
        </is>
      </c>
      <c r="D1" s="6" t="inlineStr">
        <is>
          <t>Q3_2026_QUARTER</t>
        </is>
      </c>
      <c r="E1" s="6" t="inlineStr">
        <is>
          <t>Q3_2026_STRATUM</t>
        </is>
      </c>
      <c r="F1" s="6" t="inlineStr">
        <is>
          <t>Q3_2026_REGION_ID</t>
        </is>
      </c>
      <c r="G1" s="6" t="inlineStr">
        <is>
          <t>Q3_2026_ADDRESS</t>
        </is>
      </c>
      <c r="H1" s="6" t="inlineStr">
        <is>
          <t>Q3_2026_ACTIVITY_TYPE_EN</t>
        </is>
      </c>
      <c r="I1" s="6" t="inlineStr">
        <is>
          <t>Q3_2026_ACTIVITY_TYPE_AR</t>
        </is>
      </c>
      <c r="J1" s="6" t="inlineStr">
        <is>
          <t>Q3_2026_ISIC4</t>
        </is>
      </c>
      <c r="K1" s="6" t="inlineStr">
        <is>
          <t>Q3_2026_ISIC4_DESC_EN</t>
        </is>
      </c>
      <c r="L1" s="6" t="inlineStr">
        <is>
          <t>Q3_2026_ISIC4_DESC_AR</t>
        </is>
      </c>
      <c r="M1" s="6" t="inlineStr">
        <is>
          <t>Q3_2026_ENUMERATOR_NAME_AR</t>
        </is>
      </c>
      <c r="N1" s="6" t="inlineStr">
        <is>
          <t>Q3_2026_ENUMERATOR_NAME_EN</t>
        </is>
      </c>
      <c r="O1" s="6" t="inlineStr">
        <is>
          <t>Q3_2026_AUDITOR_NAME_AR</t>
        </is>
      </c>
      <c r="P1" s="6" t="inlineStr">
        <is>
          <t>Q3_2026_AUDITOR_NAME_EN</t>
        </is>
      </c>
      <c r="Q1" s="6" t="inlineStr">
        <is>
          <t>Licence_Number</t>
        </is>
      </c>
      <c r="R1" s="6" t="inlineStr">
        <is>
          <t>Q3_2026_FUND_FOR_RESEARCH</t>
        </is>
      </c>
      <c r="S1" s="6" t="inlineStr">
        <is>
          <t>Q3_2026_Total_Revenue</t>
        </is>
      </c>
      <c r="T1" s="6" t="inlineStr">
        <is>
          <t>Q3_2026_Total_Expenses</t>
        </is>
      </c>
      <c r="U1" s="6" t="inlineStr">
        <is>
          <t>Q3_2026_Operations_Cost</t>
        </is>
      </c>
      <c r="V1" s="6" t="inlineStr">
        <is>
          <t>Q3_2026_Employee_Salary</t>
        </is>
      </c>
      <c r="W1" s="6" t="inlineStr">
        <is>
          <t>Q3_2026_Banking_Charges</t>
        </is>
      </c>
      <c r="X1" s="6" t="inlineStr">
        <is>
          <t>Q3_2026_RAW_Material</t>
        </is>
      </c>
      <c r="Y1" s="6" t="inlineStr">
        <is>
          <t>Q3_2026_Total_Finished_Goods_Begining_Of_period</t>
        </is>
      </c>
      <c r="Z1" s="6" t="inlineStr">
        <is>
          <t>Q3_2026_Comment_Revenue</t>
        </is>
      </c>
      <c r="AA1" s="6" t="inlineStr">
        <is>
          <t>Q3_2026_Comment_Expense</t>
        </is>
      </c>
      <c r="AB1" s="6" t="inlineStr">
        <is>
          <t>Q3_2026_Comment_Inventory</t>
        </is>
      </c>
      <c r="AC1" s="6" t="inlineStr">
        <is>
          <t>Q3_2026_Total_Finished_Goods_End_of_period</t>
        </is>
      </c>
      <c r="AD1" s="6" t="inlineStr">
        <is>
          <t>Q3_2026_IC</t>
        </is>
      </c>
      <c r="AE1" s="6" t="inlineStr">
        <is>
          <t>Q3_2026_TOTAL_EMPLOYEES</t>
        </is>
      </c>
      <c r="AF1" s="6" t="inlineStr">
        <is>
          <t>Q3_2026_Auditor_User_Name</t>
        </is>
      </c>
      <c r="AG1" s="6" t="inlineStr">
        <is>
          <t>Q3_2026_AUD_Supervisor_USER_Name</t>
        </is>
      </c>
      <c r="AH1" s="6" t="inlineStr">
        <is>
          <t>Q3_2026_ENUMERATOR_User_name</t>
        </is>
      </c>
      <c r="AI1" s="6" t="inlineStr">
        <is>
          <t>Q3_2026_ENU_Supervisor_User_Name</t>
        </is>
      </c>
      <c r="AJ1" s="6" t="inlineStr">
        <is>
          <t>Left_Right_ESTABLISHMENT_NAME</t>
        </is>
      </c>
      <c r="AK1" s="6" t="inlineStr">
        <is>
          <t>Q2_2026_YEAR</t>
        </is>
      </c>
      <c r="AL1" s="6" t="inlineStr">
        <is>
          <t>Q2_2026_QUARTER</t>
        </is>
      </c>
      <c r="AM1" s="6" t="inlineStr">
        <is>
          <t>Q2_2026_STRATUM</t>
        </is>
      </c>
      <c r="AN1" s="6" t="inlineStr">
        <is>
          <t>Q2_2026_REGION_ID</t>
        </is>
      </c>
      <c r="AO1" s="6" t="inlineStr">
        <is>
          <t>Q2_2026_ADDRESS</t>
        </is>
      </c>
      <c r="AP1" s="6" t="inlineStr">
        <is>
          <t>Q2_2026_ACTIVITY_TYPE_EN</t>
        </is>
      </c>
      <c r="AQ1" s="6" t="inlineStr">
        <is>
          <t>Q2_2026_ACTIVITY_TYPE_AR</t>
        </is>
      </c>
      <c r="AR1" s="6" t="inlineStr">
        <is>
          <t>Q2_2026_ISIC4</t>
        </is>
      </c>
      <c r="AS1" s="6" t="inlineStr">
        <is>
          <t>Q2_2026_ISIC4_DESC_EN</t>
        </is>
      </c>
      <c r="AT1" s="6" t="inlineStr">
        <is>
          <t>Q2_2026_ISIC4_DESC_AR</t>
        </is>
      </c>
      <c r="AU1" s="6" t="inlineStr">
        <is>
          <t>Q2_2026_ENUMERATOR_NAME_AR</t>
        </is>
      </c>
      <c r="AV1" s="6" t="inlineStr">
        <is>
          <t>Q2_2026_ENUMERATOR_NAME_EN</t>
        </is>
      </c>
      <c r="AW1" s="6" t="inlineStr">
        <is>
          <t>Q2_2026_AUDITOR_NAME_AR</t>
        </is>
      </c>
      <c r="AX1" s="6" t="inlineStr">
        <is>
          <t>Q2_2026_AUDITOR_NAME_EN</t>
        </is>
      </c>
      <c r="AY1" s="6" t="inlineStr">
        <is>
          <t>Left_Right_Licence_Number</t>
        </is>
      </c>
      <c r="AZ1" s="6" t="inlineStr">
        <is>
          <t>Q2_2026_FUND_FOR_RESEARCH</t>
        </is>
      </c>
      <c r="BA1" s="6" t="inlineStr">
        <is>
          <t>Q2_2026_Total_Revenue</t>
        </is>
      </c>
      <c r="BB1" s="6" t="inlineStr">
        <is>
          <t>Q2_2026_Total_Expenses</t>
        </is>
      </c>
      <c r="BC1" s="6" t="inlineStr">
        <is>
          <t>Q2_2026_Operations_Cost</t>
        </is>
      </c>
      <c r="BD1" s="6" t="inlineStr">
        <is>
          <t>Q2_2026_Employee_Salary</t>
        </is>
      </c>
      <c r="BE1" s="6" t="inlineStr">
        <is>
          <t>Q2_2026_Banking_Charges</t>
        </is>
      </c>
      <c r="BF1" s="6" t="inlineStr">
        <is>
          <t>Q2_2026_RAW_Material</t>
        </is>
      </c>
      <c r="BG1" s="6" t="inlineStr">
        <is>
          <t>Q2_2026_Total_Finished_Goods_Begining_Of_period</t>
        </is>
      </c>
      <c r="BH1" s="6" t="inlineStr">
        <is>
          <t>Q2_2026_Comment_Revenue</t>
        </is>
      </c>
      <c r="BI1" s="6" t="inlineStr">
        <is>
          <t>Q2_2026_Comment_Expense</t>
        </is>
      </c>
      <c r="BJ1" s="6" t="inlineStr">
        <is>
          <t>Q2_2026_Comment_Inventory</t>
        </is>
      </c>
      <c r="BK1" s="6" t="inlineStr">
        <is>
          <t>Q2_2026_Total_Finished_Goods_End_of_period</t>
        </is>
      </c>
      <c r="BL1" s="6" t="inlineStr">
        <is>
          <t>Q2_2026_IC</t>
        </is>
      </c>
      <c r="BM1" s="6" t="inlineStr">
        <is>
          <t>Q2_2026_TOTAL_EMPLOYEES</t>
        </is>
      </c>
      <c r="BN1" s="6" t="inlineStr">
        <is>
          <t>Q2_2026_Auditor_User_Name</t>
        </is>
      </c>
      <c r="BO1" s="6" t="inlineStr">
        <is>
          <t>Q2_2026_AUD_Supervisor_USER_Name</t>
        </is>
      </c>
      <c r="BP1" s="6" t="inlineStr">
        <is>
          <t>Q2_2026_ENUMERATOR_User_name</t>
        </is>
      </c>
      <c r="BQ1" s="6" t="inlineStr">
        <is>
          <t>Q2_2026_ENU_Supervisor_User_Name</t>
        </is>
      </c>
      <c r="BR1" s="6" t="inlineStr">
        <is>
          <t>Right_ESTABLISHMENT_NAME</t>
        </is>
      </c>
      <c r="BS1" s="6" t="inlineStr">
        <is>
          <t>Right_Q2_2026_YEAR</t>
        </is>
      </c>
      <c r="BT1" s="6" t="inlineStr">
        <is>
          <t>Right_Q2_2026_QUARTER</t>
        </is>
      </c>
      <c r="BU1" s="6" t="inlineStr">
        <is>
          <t>Right_Q2_2026_STRATUM</t>
        </is>
      </c>
      <c r="BV1" s="6" t="inlineStr">
        <is>
          <t>Right_Q2_2026_REGION_ID</t>
        </is>
      </c>
      <c r="BW1" s="6" t="inlineStr">
        <is>
          <t>Right_Q2_2026_ADDRESS</t>
        </is>
      </c>
      <c r="BX1" s="6" t="inlineStr">
        <is>
          <t>Right_Q2_2026_ACTIVITY_TYPE_EN</t>
        </is>
      </c>
      <c r="BY1" s="6" t="inlineStr">
        <is>
          <t>Right_Q2_2026_ACTIVITY_TYPE_AR</t>
        </is>
      </c>
      <c r="BZ1" s="6" t="inlineStr">
        <is>
          <t>Right_Q2_2026_ISIC4</t>
        </is>
      </c>
      <c r="CA1" s="6" t="inlineStr">
        <is>
          <t>Right_Q2_2026_ISIC4_DESC_EN</t>
        </is>
      </c>
      <c r="CB1" s="6" t="inlineStr">
        <is>
          <t>Right_Q2_2026_ISIC4_DESC_AR</t>
        </is>
      </c>
      <c r="CC1" s="6" t="inlineStr">
        <is>
          <t>Right_Q2_2026_ENUMERATOR_NAME_AR</t>
        </is>
      </c>
      <c r="CD1" s="6" t="inlineStr">
        <is>
          <t>Right_Q2_2026_ENUMERATOR_NAME_EN</t>
        </is>
      </c>
      <c r="CE1" s="6" t="inlineStr">
        <is>
          <t>Right_Q2_2026_AUDITOR_NAME_AR</t>
        </is>
      </c>
      <c r="CF1" s="6" t="inlineStr">
        <is>
          <t>Right_Q2_2026_AUDITOR_NAME_EN</t>
        </is>
      </c>
      <c r="CG1" s="6" t="inlineStr">
        <is>
          <t>Right_Licence_Number</t>
        </is>
      </c>
      <c r="CH1" s="6" t="inlineStr">
        <is>
          <t>Right_Q2_2026_FUND_FOR_RESEARCH</t>
        </is>
      </c>
      <c r="CI1" s="6" t="inlineStr">
        <is>
          <t>Right_Q2_2026_Total_Revenue</t>
        </is>
      </c>
      <c r="CJ1" s="6" t="inlineStr">
        <is>
          <t>Right_Q2_2026_Total_Expenses</t>
        </is>
      </c>
      <c r="CK1" s="6" t="inlineStr">
        <is>
          <t>Right_Q2_2026_Operations_Cost</t>
        </is>
      </c>
      <c r="CL1" s="6" t="inlineStr">
        <is>
          <t>Right_Q2_2026_Employee_Salary</t>
        </is>
      </c>
      <c r="CM1" s="6" t="inlineStr">
        <is>
          <t>Right_Q2_2026_Banking_Charges</t>
        </is>
      </c>
      <c r="CN1" s="6" t="inlineStr">
        <is>
          <t>Right_Q2_2026_RAW_Material</t>
        </is>
      </c>
      <c r="CO1" s="6" t="inlineStr">
        <is>
          <t>Right_Q2_2026_Total_Finished_Goods_Begining_Of_period</t>
        </is>
      </c>
      <c r="CP1" s="6" t="inlineStr">
        <is>
          <t>Right_Q2_2026_Comment_Revenue</t>
        </is>
      </c>
      <c r="CQ1" s="6" t="inlineStr">
        <is>
          <t>Right_Q2_2026_Comment_Expense</t>
        </is>
      </c>
      <c r="CR1" s="6" t="inlineStr">
        <is>
          <t>Right_Q2_2026_Comment_Inventory</t>
        </is>
      </c>
      <c r="CS1" s="6" t="inlineStr">
        <is>
          <t>Right_Q2_2026_Total_Finished_Goods_End_of_period</t>
        </is>
      </c>
      <c r="CT1" s="6" t="inlineStr">
        <is>
          <t>Right_Q2_2026_IC</t>
        </is>
      </c>
      <c r="CU1" s="6" t="inlineStr">
        <is>
          <t>Right_Q2_2026_TOTAL_EMPLOYEES</t>
        </is>
      </c>
      <c r="CV1" s="6" t="inlineStr">
        <is>
          <t>Right_Q2_2026_Auditor_User_Name</t>
        </is>
      </c>
      <c r="CW1" s="6" t="inlineStr">
        <is>
          <t>Right_Q2_2026_AUD_Supervisor_USER_Name</t>
        </is>
      </c>
      <c r="CX1" s="6" t="inlineStr">
        <is>
          <t>Right_Q2_2026_ENUMERATOR_User_name</t>
        </is>
      </c>
      <c r="CY1" s="6" t="inlineStr">
        <is>
          <t>Right_Q2_2026_ENU_Supervisor_User_Name</t>
        </is>
      </c>
      <c r="CZ1" s="6" t="inlineStr">
        <is>
          <t>Right_Right_ESTABLISHMENT_NAME</t>
        </is>
      </c>
      <c r="DA1" s="6" t="inlineStr">
        <is>
          <t>Right_Right_Q2_2026_YEAR</t>
        </is>
      </c>
      <c r="DB1" s="6" t="inlineStr">
        <is>
          <t>Right_Right_Q2_2026_QUARTER</t>
        </is>
      </c>
      <c r="DC1" s="6" t="inlineStr">
        <is>
          <t>Right_Right_Q2_2026_STRATUM</t>
        </is>
      </c>
      <c r="DD1" s="6" t="inlineStr">
        <is>
          <t>Right_Right_Q2_2026_REGION_ID</t>
        </is>
      </c>
      <c r="DE1" s="6" t="inlineStr">
        <is>
          <t>Right_Right_Q2_2026_ADDRESS</t>
        </is>
      </c>
      <c r="DF1" s="6" t="inlineStr">
        <is>
          <t>Right_Right_Q2_2026_ACTIVITY_TYPE_EN</t>
        </is>
      </c>
      <c r="DG1" s="6" t="inlineStr">
        <is>
          <t>Right_Right_Q2_2026_ACTIVITY_TYPE_AR</t>
        </is>
      </c>
      <c r="DH1" s="6" t="inlineStr">
        <is>
          <t>Right_Right_Q2_2026_ISIC4</t>
        </is>
      </c>
      <c r="DI1" s="6" t="inlineStr">
        <is>
          <t>Right_Right_Q2_2026_ISIC4_DESC_EN</t>
        </is>
      </c>
      <c r="DJ1" s="6" t="inlineStr">
        <is>
          <t>Right_Right_Q2_2026_ISIC4_DESC_AR</t>
        </is>
      </c>
      <c r="DK1" s="6" t="inlineStr">
        <is>
          <t>Right_Right_Q2_2026_ENUMERATOR_NAME_AR</t>
        </is>
      </c>
      <c r="DL1" s="6" t="inlineStr">
        <is>
          <t>Right_Right_Q2_2026_ENUMERATOR_NAME_EN</t>
        </is>
      </c>
      <c r="DM1" s="6" t="inlineStr">
        <is>
          <t>Right_Right_Q2_2026_AUDITOR_NAME_AR</t>
        </is>
      </c>
      <c r="DN1" s="6" t="inlineStr">
        <is>
          <t>Right_Right_Q2_2026_AUDITOR_NAME_EN</t>
        </is>
      </c>
      <c r="DO1" s="6" t="inlineStr">
        <is>
          <t>Right_Right_Licence_Number</t>
        </is>
      </c>
      <c r="DP1" s="6" t="inlineStr">
        <is>
          <t>Right_Right_Q2_2026_FUND_FOR_RESEARCH</t>
        </is>
      </c>
      <c r="DQ1" s="6" t="inlineStr">
        <is>
          <t>Right_Right_Q2_2026_Total_Revenue</t>
        </is>
      </c>
      <c r="DR1" s="6" t="inlineStr">
        <is>
          <t>Right_Right_Q2_2026_Total_Expenses</t>
        </is>
      </c>
      <c r="DS1" s="6" t="inlineStr">
        <is>
          <t>Right_Right_Q2_2026_Operations_Cost</t>
        </is>
      </c>
      <c r="DT1" s="6" t="inlineStr">
        <is>
          <t>Right_Right_Q2_2026_Employee_Salary</t>
        </is>
      </c>
      <c r="DU1" s="6" t="inlineStr">
        <is>
          <t>Right_Right_Q2_2026_Banking_Charges</t>
        </is>
      </c>
      <c r="DV1" s="6" t="inlineStr">
        <is>
          <t>Right_Right_Q2_2026_RAW_Material</t>
        </is>
      </c>
      <c r="DW1" s="6" t="inlineStr">
        <is>
          <t>Right_Right_Q2_2026_Total_Finished_Goods_Begining_Of_period</t>
        </is>
      </c>
      <c r="DX1" s="6" t="inlineStr">
        <is>
          <t>Right_Right_Q2_2026_Comment_Revenue</t>
        </is>
      </c>
      <c r="DY1" s="6" t="inlineStr">
        <is>
          <t>Right_Right_Q2_2026_Comment_Expense</t>
        </is>
      </c>
      <c r="DZ1" s="6" t="inlineStr">
        <is>
          <t>Right_Right_Q2_2026_Comment_Inventory</t>
        </is>
      </c>
      <c r="EA1" s="6" t="inlineStr">
        <is>
          <t>Right_Right_Q2_2026_Total_Finished_Goods_End_of_period</t>
        </is>
      </c>
      <c r="EB1" s="6" t="inlineStr">
        <is>
          <t>Right_Right_Q2_2026_TOTAL_EMPLOYEES</t>
        </is>
      </c>
      <c r="EC1" s="6" t="inlineStr">
        <is>
          <t>Right_Right_Q2_2026_Auditor_User_Name</t>
        </is>
      </c>
      <c r="ED1" s="6" t="inlineStr">
        <is>
          <t>Right_Right_Q2_2026_AUD_Supervisor_USER_Name</t>
        </is>
      </c>
      <c r="EE1" s="6" t="inlineStr">
        <is>
          <t>Right_Right_Q2_2026_ENUMERATOR_User_name</t>
        </is>
      </c>
      <c r="EF1" s="6" t="inlineStr">
        <is>
          <t>Right_Right_Q2_2026_ENU_Supervisor_User_Name</t>
        </is>
      </c>
    </row>
    <row r="2">
      <c r="A2" s="7" t="inlineStr">
        <is>
          <t>F101</t>
        </is>
      </c>
      <c r="B2" s="7" t="inlineStr">
        <is>
          <t>Establishment 1 LLC</t>
        </is>
      </c>
      <c r="C2" s="7" t="n">
        <v>2026</v>
      </c>
      <c r="D2" s="7" t="inlineStr">
        <is>
          <t>Q3</t>
        </is>
      </c>
      <c r="E2" s="7" t="n">
        <v>1</v>
      </c>
      <c r="F2" s="7" t="n">
        <v>1</v>
      </c>
      <c r="G2" s="7" t="inlineStr">
        <is>
          <t>Building 1, Abu Dhabi</t>
        </is>
      </c>
      <c r="H2" s="7" t="inlineStr">
        <is>
          <t>Trade</t>
        </is>
      </c>
      <c r="I2" s="7" t="inlineStr">
        <is>
          <t>تجارة</t>
        </is>
      </c>
      <c r="J2" s="7" t="inlineStr">
        <is>
          <t>4610</t>
        </is>
      </c>
      <c r="K2" s="7" t="inlineStr">
        <is>
          <t>Wholesale trade</t>
        </is>
      </c>
      <c r="L2" s="7" t="inlineStr">
        <is>
          <t>تجارة الجملة</t>
        </is>
      </c>
      <c r="M2" s="7" t="inlineStr">
        <is>
          <t>أحمد الباحث</t>
        </is>
      </c>
      <c r="N2" s="7" t="inlineStr">
        <is>
          <t>Ahmed Enumerator</t>
        </is>
      </c>
      <c r="O2" s="7" t="inlineStr">
        <is>
          <t>فاطمة المدقق</t>
        </is>
      </c>
      <c r="P2" s="7" t="inlineStr">
        <is>
          <t>Fatima Auditor</t>
        </is>
      </c>
      <c r="Q2" s="7" t="inlineStr">
        <is>
          <t>CN-1000101</t>
        </is>
      </c>
      <c r="R2" s="7" t="n">
        <v>0</v>
      </c>
      <c r="S2" s="7" t="n">
        <v>448000</v>
      </c>
      <c r="T2" s="7" t="n">
        <v>123200</v>
      </c>
      <c r="U2" s="7" t="n">
        <v>61600</v>
      </c>
      <c r="V2" s="7" t="n">
        <v>168000</v>
      </c>
      <c r="W2" s="7" t="n">
        <v>2800</v>
      </c>
      <c r="X2" s="7" t="n">
        <v>31360</v>
      </c>
      <c r="Y2" s="7" t="n">
        <v>19000</v>
      </c>
      <c r="Z2" s="7" t="inlineStr"/>
      <c r="AA2" s="7" t="inlineStr"/>
      <c r="AB2" s="7" t="inlineStr"/>
      <c r="AC2" s="7" t="n">
        <v>22400</v>
      </c>
      <c r="AD2" s="7" t="inlineStr"/>
      <c r="AE2" s="7" t="n">
        <v>11</v>
      </c>
      <c r="AF2" s="7" t="inlineStr">
        <is>
          <t>auditor1</t>
        </is>
      </c>
      <c r="AG2" s="7" t="inlineStr">
        <is>
          <t>sup1</t>
        </is>
      </c>
      <c r="AH2" s="7" t="inlineStr">
        <is>
          <t>enum1</t>
        </is>
      </c>
      <c r="AI2" s="7" t="inlineStr">
        <is>
          <t>sup1</t>
        </is>
      </c>
      <c r="AJ2" s="7" t="inlineStr">
        <is>
          <t>Establishment 1 LLC</t>
        </is>
      </c>
      <c r="AK2" s="7" t="n">
        <v>2026</v>
      </c>
      <c r="AL2" s="7" t="inlineStr">
        <is>
          <t>Q2</t>
        </is>
      </c>
      <c r="AM2" s="7" t="n">
        <v>1</v>
      </c>
      <c r="AN2" s="7" t="n">
        <v>1</v>
      </c>
      <c r="AO2" s="7" t="inlineStr">
        <is>
          <t>Building 1, Abu Dhabi</t>
        </is>
      </c>
      <c r="AP2" s="7" t="inlineStr">
        <is>
          <t>Trade</t>
        </is>
      </c>
      <c r="AQ2" s="7" t="inlineStr">
        <is>
          <t>تجارة</t>
        </is>
      </c>
      <c r="AR2" s="7" t="inlineStr">
        <is>
          <t>4610</t>
        </is>
      </c>
      <c r="AS2" s="7" t="inlineStr">
        <is>
          <t>Wholesale trade</t>
        </is>
      </c>
      <c r="AT2" s="7" t="inlineStr">
        <is>
          <t>تجارة الجملة</t>
        </is>
      </c>
      <c r="AU2" s="7" t="inlineStr">
        <is>
          <t>أحمد الباحث</t>
        </is>
      </c>
      <c r="AV2" s="7" t="inlineStr">
        <is>
          <t>Ahmed Enumerator</t>
        </is>
      </c>
      <c r="AW2" s="7" t="inlineStr">
        <is>
          <t>فاطمة المدقق</t>
        </is>
      </c>
      <c r="AX2" s="7" t="inlineStr">
        <is>
          <t>Fatima Auditor</t>
        </is>
      </c>
      <c r="AY2" s="7" t="inlineStr">
        <is>
          <t>CN-1000101</t>
        </is>
      </c>
      <c r="AZ2" s="7" t="n">
        <v>0</v>
      </c>
      <c r="BA2" s="7" t="n">
        <v>380000</v>
      </c>
      <c r="BB2" s="7" t="n">
        <v>104500</v>
      </c>
      <c r="BC2" s="7" t="n">
        <v>52250</v>
      </c>
      <c r="BD2" s="7" t="n">
        <v>142500</v>
      </c>
      <c r="BE2" s="7" t="n">
        <v>2375</v>
      </c>
      <c r="BF2" s="7" t="n">
        <v>26600</v>
      </c>
      <c r="BG2" s="7" t="n">
        <v>21600</v>
      </c>
      <c r="BH2" s="7" t="inlineStr"/>
      <c r="BI2" s="7" t="inlineStr"/>
      <c r="BJ2" s="7" t="inlineStr"/>
      <c r="BK2" s="7" t="n">
        <v>19000</v>
      </c>
      <c r="BL2" s="7" t="inlineStr"/>
      <c r="BM2" s="7" t="n">
        <v>10</v>
      </c>
      <c r="BN2" s="7" t="inlineStr">
        <is>
          <t>auditor1</t>
        </is>
      </c>
      <c r="BO2" s="7" t="inlineStr">
        <is>
          <t>sup1</t>
        </is>
      </c>
      <c r="BP2" s="7" t="inlineStr">
        <is>
          <t>enum1</t>
        </is>
      </c>
      <c r="BQ2" s="7" t="inlineStr">
        <is>
          <t>sup1</t>
        </is>
      </c>
      <c r="BR2" s="7" t="inlineStr">
        <is>
          <t>Establishment 1 LLC</t>
        </is>
      </c>
      <c r="BS2" s="7" t="n">
        <v>2026</v>
      </c>
      <c r="BT2" s="7" t="inlineStr">
        <is>
          <t>Q1</t>
        </is>
      </c>
      <c r="BU2" s="7" t="n">
        <v>1</v>
      </c>
      <c r="BV2" s="7" t="n">
        <v>1</v>
      </c>
      <c r="BW2" s="7" t="inlineStr">
        <is>
          <t>Building 1, Abu Dhabi</t>
        </is>
      </c>
      <c r="BX2" s="7" t="inlineStr">
        <is>
          <t>Trade</t>
        </is>
      </c>
      <c r="BY2" s="7" t="inlineStr">
        <is>
          <t>تجارة</t>
        </is>
      </c>
      <c r="BZ2" s="7" t="inlineStr">
        <is>
          <t>4610</t>
        </is>
      </c>
      <c r="CA2" s="7" t="inlineStr">
        <is>
          <t>Wholesale trade</t>
        </is>
      </c>
      <c r="CB2" s="7" t="inlineStr">
        <is>
          <t>تجارة الجملة</t>
        </is>
      </c>
      <c r="CC2" s="7" t="inlineStr">
        <is>
          <t>أحمد الباحث</t>
        </is>
      </c>
      <c r="CD2" s="7" t="inlineStr">
        <is>
          <t>Ahmed Enumerator</t>
        </is>
      </c>
      <c r="CE2" s="7" t="inlineStr">
        <is>
          <t>فاطمة المدقق</t>
        </is>
      </c>
      <c r="CF2" s="7" t="inlineStr">
        <is>
          <t>Fatima Auditor</t>
        </is>
      </c>
      <c r="CG2" s="7" t="inlineStr">
        <is>
          <t>CN-1000101</t>
        </is>
      </c>
      <c r="CH2" s="7" t="n">
        <v>0</v>
      </c>
      <c r="CI2" s="7" t="n">
        <v>432000</v>
      </c>
      <c r="CJ2" s="7" t="n">
        <v>118800</v>
      </c>
      <c r="CK2" s="7" t="n">
        <v>59400</v>
      </c>
      <c r="CL2" s="7" t="n">
        <v>162000</v>
      </c>
      <c r="CM2" s="7" t="n">
        <v>2700</v>
      </c>
      <c r="CN2" s="7" t="n">
        <v>30240</v>
      </c>
      <c r="CO2" s="7" t="n">
        <v>20000</v>
      </c>
      <c r="CP2" s="7" t="inlineStr"/>
      <c r="CQ2" s="7" t="inlineStr"/>
      <c r="CR2" s="7" t="inlineStr"/>
      <c r="CS2" s="7" t="n">
        <v>21600</v>
      </c>
      <c r="CT2" s="7" t="inlineStr"/>
      <c r="CU2" s="7" t="n">
        <v>9</v>
      </c>
      <c r="CV2" s="7" t="inlineStr">
        <is>
          <t>auditor1</t>
        </is>
      </c>
      <c r="CW2" s="7" t="inlineStr">
        <is>
          <t>sup1</t>
        </is>
      </c>
      <c r="CX2" s="7" t="inlineStr">
        <is>
          <t>enum1</t>
        </is>
      </c>
      <c r="CY2" s="7" t="inlineStr">
        <is>
          <t>sup1</t>
        </is>
      </c>
      <c r="CZ2" s="7" t="inlineStr">
        <is>
          <t>Establishment 1 LLC</t>
        </is>
      </c>
      <c r="DA2" s="7" t="n">
        <v>2025</v>
      </c>
      <c r="DB2" s="7" t="inlineStr">
        <is>
          <t>Q4</t>
        </is>
      </c>
      <c r="DC2" s="7" t="n">
        <v>1</v>
      </c>
      <c r="DD2" s="7" t="n">
        <v>1</v>
      </c>
      <c r="DE2" s="7" t="inlineStr">
        <is>
          <t>Building 1, Abu Dhabi</t>
        </is>
      </c>
      <c r="DF2" s="7" t="inlineStr">
        <is>
          <t>Trade</t>
        </is>
      </c>
      <c r="DG2" s="7" t="inlineStr">
        <is>
          <t>تجارة</t>
        </is>
      </c>
      <c r="DH2" s="7" t="inlineStr">
        <is>
          <t>4610</t>
        </is>
      </c>
      <c r="DI2" s="7" t="inlineStr">
        <is>
          <t>Wholesale trade</t>
        </is>
      </c>
      <c r="DJ2" s="7" t="inlineStr">
        <is>
          <t>تجارة الجملة</t>
        </is>
      </c>
      <c r="DK2" s="7" t="inlineStr">
        <is>
          <t>أحمد الباحث</t>
        </is>
      </c>
      <c r="DL2" s="7" t="inlineStr">
        <is>
          <t>Ahmed Enumerator</t>
        </is>
      </c>
      <c r="DM2" s="7" t="inlineStr">
        <is>
          <t>فاطمة المدقق</t>
        </is>
      </c>
      <c r="DN2" s="7" t="inlineStr">
        <is>
          <t>Fatima Auditor</t>
        </is>
      </c>
      <c r="DO2" s="7" t="inlineStr">
        <is>
          <t>CN-1000101</t>
        </is>
      </c>
      <c r="DP2" s="7" t="n">
        <v>0</v>
      </c>
      <c r="DQ2" s="7" t="n">
        <v>400000</v>
      </c>
      <c r="DR2" s="7" t="n">
        <v>110000</v>
      </c>
      <c r="DS2" s="7" t="n">
        <v>55000</v>
      </c>
      <c r="DT2" s="7" t="n">
        <v>150000</v>
      </c>
      <c r="DU2" s="7" t="n">
        <v>2500</v>
      </c>
      <c r="DV2" s="7" t="n">
        <v>28000</v>
      </c>
      <c r="DW2" s="7" t="n">
        <v>18000</v>
      </c>
      <c r="DX2" s="7" t="inlineStr"/>
      <c r="DY2" s="7" t="inlineStr"/>
      <c r="DZ2" s="7" t="inlineStr"/>
      <c r="EA2" s="7" t="n">
        <v>20000</v>
      </c>
      <c r="EB2" s="7" t="n">
        <v>8</v>
      </c>
      <c r="EC2" s="7" t="inlineStr">
        <is>
          <t>auditor1</t>
        </is>
      </c>
      <c r="ED2" s="7" t="inlineStr">
        <is>
          <t>sup1</t>
        </is>
      </c>
      <c r="EE2" s="7" t="inlineStr">
        <is>
          <t>enum1</t>
        </is>
      </c>
      <c r="EF2" s="7" t="inlineStr">
        <is>
          <t>sup1</t>
        </is>
      </c>
    </row>
    <row r="3">
      <c r="A3" s="7" t="inlineStr">
        <is>
          <t>F102</t>
        </is>
      </c>
      <c r="B3" s="7" t="inlineStr">
        <is>
          <t>Establishment 2 LLC</t>
        </is>
      </c>
      <c r="C3" s="7" t="n">
        <v>2026</v>
      </c>
      <c r="D3" s="7" t="inlineStr">
        <is>
          <t>Q3</t>
        </is>
      </c>
      <c r="E3" s="7" t="n">
        <v>2</v>
      </c>
      <c r="F3" s="7" t="n">
        <v>2</v>
      </c>
      <c r="G3" s="7" t="inlineStr">
        <is>
          <t>Building 2, Abu Dhabi</t>
        </is>
      </c>
      <c r="H3" s="7" t="inlineStr">
        <is>
          <t>Industry</t>
        </is>
      </c>
      <c r="I3" s="7" t="inlineStr">
        <is>
          <t>صناعة</t>
        </is>
      </c>
      <c r="J3" s="7" t="inlineStr">
        <is>
          <t>2599</t>
        </is>
      </c>
      <c r="K3" s="7" t="inlineStr">
        <is>
          <t>Fabricated metal products</t>
        </is>
      </c>
      <c r="L3" s="7" t="inlineStr">
        <is>
          <t>منتجات معدنية مشكلة</t>
        </is>
      </c>
      <c r="M3" s="7" t="inlineStr">
        <is>
          <t>ليلى الباحثة</t>
        </is>
      </c>
      <c r="N3" s="7" t="inlineStr">
        <is>
          <t>Layla Enumerator</t>
        </is>
      </c>
      <c r="O3" s="7" t="inlineStr">
        <is>
          <t>محمد المدقق</t>
        </is>
      </c>
      <c r="P3" s="7" t="inlineStr">
        <is>
          <t>Mohammed Auditor</t>
        </is>
      </c>
      <c r="Q3" s="7" t="inlineStr">
        <is>
          <t>CN-1000102</t>
        </is>
      </c>
      <c r="R3" s="7" t="n">
        <v>0</v>
      </c>
      <c r="S3" s="7" t="n">
        <v>461440</v>
      </c>
      <c r="T3" s="7" t="n">
        <v>126896</v>
      </c>
      <c r="U3" s="7" t="n">
        <v>63448</v>
      </c>
      <c r="V3" s="7" t="n">
        <v>173040</v>
      </c>
      <c r="W3" s="7" t="n">
        <v>2884</v>
      </c>
      <c r="X3" s="7" t="n">
        <v>32301</v>
      </c>
      <c r="Y3" s="7" t="n">
        <v>19570</v>
      </c>
      <c r="Z3" s="7" t="inlineStr"/>
      <c r="AA3" s="7" t="inlineStr"/>
      <c r="AB3" s="7" t="inlineStr"/>
      <c r="AC3" s="7" t="n">
        <v>23072</v>
      </c>
      <c r="AD3" s="7" t="inlineStr"/>
      <c r="AE3" s="7" t="n">
        <v>12</v>
      </c>
      <c r="AF3" s="7" t="inlineStr">
        <is>
          <t>auditor1</t>
        </is>
      </c>
      <c r="AG3" s="7" t="inlineStr">
        <is>
          <t>sup1</t>
        </is>
      </c>
      <c r="AH3" s="7" t="inlineStr">
        <is>
          <t>enum1</t>
        </is>
      </c>
      <c r="AI3" s="7" t="inlineStr">
        <is>
          <t>sup1</t>
        </is>
      </c>
      <c r="AJ3" s="7" t="inlineStr">
        <is>
          <t>Establishment 2 LLC</t>
        </is>
      </c>
      <c r="AK3" s="7" t="n">
        <v>2026</v>
      </c>
      <c r="AL3" s="7" t="inlineStr">
        <is>
          <t>Q2</t>
        </is>
      </c>
      <c r="AM3" s="7" t="n">
        <v>2</v>
      </c>
      <c r="AN3" s="7" t="n">
        <v>2</v>
      </c>
      <c r="AO3" s="7" t="inlineStr">
        <is>
          <t>Building 2, Abu Dhabi</t>
        </is>
      </c>
      <c r="AP3" s="7" t="inlineStr">
        <is>
          <t>Industry</t>
        </is>
      </c>
      <c r="AQ3" s="7" t="inlineStr">
        <is>
          <t>صناعة</t>
        </is>
      </c>
      <c r="AR3" s="7" t="inlineStr">
        <is>
          <t>2599</t>
        </is>
      </c>
      <c r="AS3" s="7" t="inlineStr">
        <is>
          <t>Fabricated metal products</t>
        </is>
      </c>
      <c r="AT3" s="7" t="inlineStr">
        <is>
          <t>منتجات معدنية مشكلة</t>
        </is>
      </c>
      <c r="AU3" s="7" t="inlineStr">
        <is>
          <t>ليلى الباحثة</t>
        </is>
      </c>
      <c r="AV3" s="7" t="inlineStr">
        <is>
          <t>Layla Enumerator</t>
        </is>
      </c>
      <c r="AW3" s="7" t="inlineStr">
        <is>
          <t>محمد المدقق</t>
        </is>
      </c>
      <c r="AX3" s="7" t="inlineStr">
        <is>
          <t>Mohammed Auditor</t>
        </is>
      </c>
      <c r="AY3" s="7" t="inlineStr">
        <is>
          <t>CN-1000102</t>
        </is>
      </c>
      <c r="AZ3" s="7" t="n">
        <v>0</v>
      </c>
      <c r="BA3" s="7" t="n">
        <v>391400</v>
      </c>
      <c r="BB3" s="7" t="n">
        <v>107635</v>
      </c>
      <c r="BC3" s="7" t="n">
        <v>53818</v>
      </c>
      <c r="BD3" s="7" t="n">
        <v>146775</v>
      </c>
      <c r="BE3" s="7" t="n">
        <v>2446</v>
      </c>
      <c r="BF3" s="7" t="n">
        <v>27398</v>
      </c>
      <c r="BG3" s="7" t="n">
        <v>22248</v>
      </c>
      <c r="BH3" s="7" t="inlineStr"/>
      <c r="BI3" s="7" t="inlineStr"/>
      <c r="BJ3" s="7" t="inlineStr"/>
      <c r="BK3" s="7" t="n">
        <v>19570</v>
      </c>
      <c r="BL3" s="7" t="inlineStr"/>
      <c r="BM3" s="7" t="n">
        <v>11</v>
      </c>
      <c r="BN3" s="7" t="inlineStr">
        <is>
          <t>auditor1</t>
        </is>
      </c>
      <c r="BO3" s="7" t="inlineStr">
        <is>
          <t>sup1</t>
        </is>
      </c>
      <c r="BP3" s="7" t="inlineStr">
        <is>
          <t>enum1</t>
        </is>
      </c>
      <c r="BQ3" s="7" t="inlineStr">
        <is>
          <t>sup1</t>
        </is>
      </c>
      <c r="BR3" s="7" t="inlineStr">
        <is>
          <t>Establishment 2 LLC</t>
        </is>
      </c>
      <c r="BS3" s="7" t="n">
        <v>2026</v>
      </c>
      <c r="BT3" s="7" t="inlineStr">
        <is>
          <t>Q1</t>
        </is>
      </c>
      <c r="BU3" s="7" t="n">
        <v>2</v>
      </c>
      <c r="BV3" s="7" t="n">
        <v>2</v>
      </c>
      <c r="BW3" s="7" t="inlineStr">
        <is>
          <t>Building 2, Abu Dhabi</t>
        </is>
      </c>
      <c r="BX3" s="7" t="inlineStr">
        <is>
          <t>Industry</t>
        </is>
      </c>
      <c r="BY3" s="7" t="inlineStr">
        <is>
          <t>صناعة</t>
        </is>
      </c>
      <c r="BZ3" s="7" t="inlineStr">
        <is>
          <t>2599</t>
        </is>
      </c>
      <c r="CA3" s="7" t="inlineStr">
        <is>
          <t>Fabricated metal products</t>
        </is>
      </c>
      <c r="CB3" s="7" t="inlineStr">
        <is>
          <t>منتجات معدنية مشكلة</t>
        </is>
      </c>
      <c r="CC3" s="7" t="inlineStr">
        <is>
          <t>ليلى الباحثة</t>
        </is>
      </c>
      <c r="CD3" s="7" t="inlineStr">
        <is>
          <t>Layla Enumerator</t>
        </is>
      </c>
      <c r="CE3" s="7" t="inlineStr">
        <is>
          <t>محمد المدقق</t>
        </is>
      </c>
      <c r="CF3" s="7" t="inlineStr">
        <is>
          <t>Mohammed Auditor</t>
        </is>
      </c>
      <c r="CG3" s="7" t="inlineStr">
        <is>
          <t>CN-1000102</t>
        </is>
      </c>
      <c r="CH3" s="7" t="n">
        <v>0</v>
      </c>
      <c r="CI3" s="7" t="n">
        <v>444960</v>
      </c>
      <c r="CJ3" s="7" t="n">
        <v>122364</v>
      </c>
      <c r="CK3" s="7" t="n">
        <v>61182</v>
      </c>
      <c r="CL3" s="7" t="n">
        <v>166860</v>
      </c>
      <c r="CM3" s="7" t="n">
        <v>2781</v>
      </c>
      <c r="CN3" s="7" t="n">
        <v>31147</v>
      </c>
      <c r="CO3" s="7" t="n">
        <v>20600</v>
      </c>
      <c r="CP3" s="7" t="inlineStr"/>
      <c r="CQ3" s="7" t="inlineStr"/>
      <c r="CR3" s="7" t="inlineStr"/>
      <c r="CS3" s="7" t="n">
        <v>22248</v>
      </c>
      <c r="CT3" s="7" t="inlineStr"/>
      <c r="CU3" s="7" t="n">
        <v>10</v>
      </c>
      <c r="CV3" s="7" t="inlineStr">
        <is>
          <t>auditor1</t>
        </is>
      </c>
      <c r="CW3" s="7" t="inlineStr">
        <is>
          <t>sup1</t>
        </is>
      </c>
      <c r="CX3" s="7" t="inlineStr">
        <is>
          <t>enum1</t>
        </is>
      </c>
      <c r="CY3" s="7" t="inlineStr">
        <is>
          <t>sup1</t>
        </is>
      </c>
      <c r="CZ3" s="7" t="inlineStr">
        <is>
          <t>Establishment 2 LLC</t>
        </is>
      </c>
      <c r="DA3" s="7" t="n">
        <v>2025</v>
      </c>
      <c r="DB3" s="7" t="inlineStr">
        <is>
          <t>Q4</t>
        </is>
      </c>
      <c r="DC3" s="7" t="n">
        <v>2</v>
      </c>
      <c r="DD3" s="7" t="n">
        <v>2</v>
      </c>
      <c r="DE3" s="7" t="inlineStr">
        <is>
          <t>Building 2, Abu Dhabi</t>
        </is>
      </c>
      <c r="DF3" s="7" t="inlineStr">
        <is>
          <t>Industry</t>
        </is>
      </c>
      <c r="DG3" s="7" t="inlineStr">
        <is>
          <t>صناعة</t>
        </is>
      </c>
      <c r="DH3" s="7" t="inlineStr">
        <is>
          <t>2599</t>
        </is>
      </c>
      <c r="DI3" s="7" t="inlineStr">
        <is>
          <t>Fabricated metal products</t>
        </is>
      </c>
      <c r="DJ3" s="7" t="inlineStr">
        <is>
          <t>منتجات معدنية مشكلة</t>
        </is>
      </c>
      <c r="DK3" s="7" t="inlineStr">
        <is>
          <t>ليلى الباحثة</t>
        </is>
      </c>
      <c r="DL3" s="7" t="inlineStr">
        <is>
          <t>Layla Enumerator</t>
        </is>
      </c>
      <c r="DM3" s="7" t="inlineStr">
        <is>
          <t>محمد المدقق</t>
        </is>
      </c>
      <c r="DN3" s="7" t="inlineStr">
        <is>
          <t>Mohammed Auditor</t>
        </is>
      </c>
      <c r="DO3" s="7" t="inlineStr">
        <is>
          <t>CN-1000102</t>
        </is>
      </c>
      <c r="DP3" s="7" t="n">
        <v>0</v>
      </c>
      <c r="DQ3" s="7" t="n">
        <v>412000</v>
      </c>
      <c r="DR3" s="7" t="n">
        <v>113300</v>
      </c>
      <c r="DS3" s="7" t="n">
        <v>56650</v>
      </c>
      <c r="DT3" s="7" t="n">
        <v>154500</v>
      </c>
      <c r="DU3" s="7" t="n">
        <v>2575</v>
      </c>
      <c r="DV3" s="7" t="n">
        <v>28840</v>
      </c>
      <c r="DW3" s="7" t="n">
        <v>18540</v>
      </c>
      <c r="DX3" s="7" t="inlineStr"/>
      <c r="DY3" s="7" t="inlineStr"/>
      <c r="DZ3" s="7" t="inlineStr"/>
      <c r="EA3" s="7" t="n">
        <v>20600</v>
      </c>
      <c r="EB3" s="7" t="n">
        <v>9</v>
      </c>
      <c r="EC3" s="7" t="inlineStr">
        <is>
          <t>auditor1</t>
        </is>
      </c>
      <c r="ED3" s="7" t="inlineStr">
        <is>
          <t>sup1</t>
        </is>
      </c>
      <c r="EE3" s="7" t="inlineStr">
        <is>
          <t>enum1</t>
        </is>
      </c>
      <c r="EF3" s="7" t="inlineStr">
        <is>
          <t>sup1</t>
        </is>
      </c>
    </row>
    <row r="4">
      <c r="A4" s="7" t="inlineStr">
        <is>
          <t>F103</t>
        </is>
      </c>
      <c r="B4" s="7" t="inlineStr">
        <is>
          <t>Establishment 3 LLC</t>
        </is>
      </c>
      <c r="C4" s="7" t="n">
        <v>2026</v>
      </c>
      <c r="D4" s="7" t="inlineStr">
        <is>
          <t>Q3</t>
        </is>
      </c>
      <c r="E4" s="7" t="n">
        <v>3</v>
      </c>
      <c r="F4" s="7" t="n">
        <v>3</v>
      </c>
      <c r="G4" s="7" t="inlineStr">
        <is>
          <t>Building 3, Abu Dhabi</t>
        </is>
      </c>
      <c r="H4" s="7" t="inlineStr">
        <is>
          <t>Construction</t>
        </is>
      </c>
      <c r="I4" s="7" t="inlineStr">
        <is>
          <t>إنشاءات</t>
        </is>
      </c>
      <c r="J4" s="7" t="inlineStr">
        <is>
          <t>4290</t>
        </is>
      </c>
      <c r="K4" s="7" t="inlineStr">
        <is>
          <t>Construction of other civil works</t>
        </is>
      </c>
      <c r="L4" s="7" t="inlineStr">
        <is>
          <t>إنشاءات مدنية أخرى</t>
        </is>
      </c>
      <c r="M4" s="7" t="inlineStr">
        <is>
          <t>أحمد الباحث</t>
        </is>
      </c>
      <c r="N4" s="7" t="inlineStr">
        <is>
          <t>Ahmed Enumerator</t>
        </is>
      </c>
      <c r="O4" s="7" t="inlineStr">
        <is>
          <t>فاطمة المدقق</t>
        </is>
      </c>
      <c r="P4" s="7" t="inlineStr">
        <is>
          <t>Fatima Auditor</t>
        </is>
      </c>
      <c r="Q4" s="7" t="inlineStr">
        <is>
          <t>CN-1000103</t>
        </is>
      </c>
      <c r="R4" s="7" t="n">
        <v>0</v>
      </c>
      <c r="S4" s="7" t="n">
        <v>474880</v>
      </c>
      <c r="T4" s="7" t="n">
        <v>130592</v>
      </c>
      <c r="U4" s="7" t="n">
        <v>65296</v>
      </c>
      <c r="V4" s="7" t="n">
        <v>178080</v>
      </c>
      <c r="W4" s="7" t="n">
        <v>2968</v>
      </c>
      <c r="X4" s="7" t="n">
        <v>0</v>
      </c>
      <c r="Y4" s="7" t="n">
        <v>0</v>
      </c>
      <c r="Z4" s="7" t="inlineStr"/>
      <c r="AA4" s="7" t="inlineStr"/>
      <c r="AB4" s="7" t="inlineStr"/>
      <c r="AC4" s="7" t="n">
        <v>0</v>
      </c>
      <c r="AD4" s="7" t="inlineStr"/>
      <c r="AE4" s="7" t="n">
        <v>13</v>
      </c>
      <c r="AF4" s="7" t="inlineStr">
        <is>
          <t>auditor1</t>
        </is>
      </c>
      <c r="AG4" s="7" t="inlineStr">
        <is>
          <t>sup1</t>
        </is>
      </c>
      <c r="AH4" s="7" t="inlineStr">
        <is>
          <t>enum1</t>
        </is>
      </c>
      <c r="AI4" s="7" t="inlineStr">
        <is>
          <t>sup1</t>
        </is>
      </c>
      <c r="AJ4" s="7" t="inlineStr">
        <is>
          <t>Establishment 3 LLC</t>
        </is>
      </c>
      <c r="AK4" s="7" t="n">
        <v>2026</v>
      </c>
      <c r="AL4" s="7" t="inlineStr">
        <is>
          <t>Q2</t>
        </is>
      </c>
      <c r="AM4" s="7" t="n">
        <v>3</v>
      </c>
      <c r="AN4" s="7" t="n">
        <v>3</v>
      </c>
      <c r="AO4" s="7" t="inlineStr">
        <is>
          <t>Building 3, Abu Dhabi</t>
        </is>
      </c>
      <c r="AP4" s="7" t="inlineStr">
        <is>
          <t>Construction</t>
        </is>
      </c>
      <c r="AQ4" s="7" t="inlineStr">
        <is>
          <t>إنشاءات</t>
        </is>
      </c>
      <c r="AR4" s="7" t="inlineStr">
        <is>
          <t>4290</t>
        </is>
      </c>
      <c r="AS4" s="7" t="inlineStr">
        <is>
          <t>Construction of other civil works</t>
        </is>
      </c>
      <c r="AT4" s="7" t="inlineStr">
        <is>
          <t>إنشاءات مدنية أخرى</t>
        </is>
      </c>
      <c r="AU4" s="7" t="inlineStr">
        <is>
          <t>أحمد الباحث</t>
        </is>
      </c>
      <c r="AV4" s="7" t="inlineStr">
        <is>
          <t>Ahmed Enumerator</t>
        </is>
      </c>
      <c r="AW4" s="7" t="inlineStr">
        <is>
          <t>فاطمة المدقق</t>
        </is>
      </c>
      <c r="AX4" s="7" t="inlineStr">
        <is>
          <t>Fatima Auditor</t>
        </is>
      </c>
      <c r="AY4" s="7" t="inlineStr">
        <is>
          <t>CN-1000103</t>
        </is>
      </c>
      <c r="AZ4" s="7" t="n">
        <v>0</v>
      </c>
      <c r="BA4" s="7" t="n">
        <v>402800</v>
      </c>
      <c r="BB4" s="7" t="n">
        <v>110770</v>
      </c>
      <c r="BC4" s="7" t="n">
        <v>55385</v>
      </c>
      <c r="BD4" s="7" t="n">
        <v>151050</v>
      </c>
      <c r="BE4" s="7" t="n">
        <v>2518</v>
      </c>
      <c r="BF4" s="7" t="n">
        <v>0</v>
      </c>
      <c r="BG4" s="7" t="n">
        <v>0</v>
      </c>
      <c r="BH4" s="7" t="inlineStr"/>
      <c r="BI4" s="7" t="inlineStr"/>
      <c r="BJ4" s="7" t="inlineStr"/>
      <c r="BK4" s="7" t="n">
        <v>0</v>
      </c>
      <c r="BL4" s="7" t="inlineStr"/>
      <c r="BM4" s="7" t="n">
        <v>12</v>
      </c>
      <c r="BN4" s="7" t="inlineStr">
        <is>
          <t>auditor1</t>
        </is>
      </c>
      <c r="BO4" s="7" t="inlineStr">
        <is>
          <t>sup1</t>
        </is>
      </c>
      <c r="BP4" s="7" t="inlineStr">
        <is>
          <t>enum1</t>
        </is>
      </c>
      <c r="BQ4" s="7" t="inlineStr">
        <is>
          <t>sup1</t>
        </is>
      </c>
      <c r="BR4" s="7" t="inlineStr">
        <is>
          <t>Establishment 3 LLC</t>
        </is>
      </c>
      <c r="BS4" s="7" t="n">
        <v>2026</v>
      </c>
      <c r="BT4" s="7" t="inlineStr">
        <is>
          <t>Q1</t>
        </is>
      </c>
      <c r="BU4" s="7" t="n">
        <v>3</v>
      </c>
      <c r="BV4" s="7" t="n">
        <v>3</v>
      </c>
      <c r="BW4" s="7" t="inlineStr">
        <is>
          <t>Building 3, Abu Dhabi</t>
        </is>
      </c>
      <c r="BX4" s="7" t="inlineStr">
        <is>
          <t>Construction</t>
        </is>
      </c>
      <c r="BY4" s="7" t="inlineStr">
        <is>
          <t>إنشاءات</t>
        </is>
      </c>
      <c r="BZ4" s="7" t="inlineStr">
        <is>
          <t>4290</t>
        </is>
      </c>
      <c r="CA4" s="7" t="inlineStr">
        <is>
          <t>Construction of other civil works</t>
        </is>
      </c>
      <c r="CB4" s="7" t="inlineStr">
        <is>
          <t>إنشاءات مدنية أخرى</t>
        </is>
      </c>
      <c r="CC4" s="7" t="inlineStr">
        <is>
          <t>أحمد الباحث</t>
        </is>
      </c>
      <c r="CD4" s="7" t="inlineStr">
        <is>
          <t>Ahmed Enumerator</t>
        </is>
      </c>
      <c r="CE4" s="7" t="inlineStr">
        <is>
          <t>فاطمة المدقق</t>
        </is>
      </c>
      <c r="CF4" s="7" t="inlineStr">
        <is>
          <t>Fatima Auditor</t>
        </is>
      </c>
      <c r="CG4" s="7" t="inlineStr">
        <is>
          <t>CN-1000103</t>
        </is>
      </c>
      <c r="CH4" s="7" t="n">
        <v>0</v>
      </c>
      <c r="CI4" s="7" t="n">
        <v>457920</v>
      </c>
      <c r="CJ4" s="7" t="n">
        <v>125928</v>
      </c>
      <c r="CK4" s="7" t="n">
        <v>62964</v>
      </c>
      <c r="CL4" s="7" t="n">
        <v>171720</v>
      </c>
      <c r="CM4" s="7" t="n">
        <v>2862</v>
      </c>
      <c r="CN4" s="7" t="n">
        <v>0</v>
      </c>
      <c r="CO4" s="7" t="n">
        <v>0</v>
      </c>
      <c r="CP4" s="7" t="inlineStr"/>
      <c r="CQ4" s="7" t="inlineStr"/>
      <c r="CR4" s="7" t="inlineStr"/>
      <c r="CS4" s="7" t="n">
        <v>0</v>
      </c>
      <c r="CT4" s="7" t="inlineStr"/>
      <c r="CU4" s="7" t="n">
        <v>11</v>
      </c>
      <c r="CV4" s="7" t="inlineStr">
        <is>
          <t>auditor1</t>
        </is>
      </c>
      <c r="CW4" s="7" t="inlineStr">
        <is>
          <t>sup1</t>
        </is>
      </c>
      <c r="CX4" s="7" t="inlineStr">
        <is>
          <t>enum1</t>
        </is>
      </c>
      <c r="CY4" s="7" t="inlineStr">
        <is>
          <t>sup1</t>
        </is>
      </c>
      <c r="CZ4" s="7" t="inlineStr">
        <is>
          <t>Establishment 3 LLC</t>
        </is>
      </c>
      <c r="DA4" s="7" t="n">
        <v>2025</v>
      </c>
      <c r="DB4" s="7" t="inlineStr">
        <is>
          <t>Q4</t>
        </is>
      </c>
      <c r="DC4" s="7" t="n">
        <v>3</v>
      </c>
      <c r="DD4" s="7" t="n">
        <v>3</v>
      </c>
      <c r="DE4" s="7" t="inlineStr">
        <is>
          <t>Building 3, Abu Dhabi</t>
        </is>
      </c>
      <c r="DF4" s="7" t="inlineStr">
        <is>
          <t>Construction</t>
        </is>
      </c>
      <c r="DG4" s="7" t="inlineStr">
        <is>
          <t>إنشاءات</t>
        </is>
      </c>
      <c r="DH4" s="7" t="inlineStr">
        <is>
          <t>4290</t>
        </is>
      </c>
      <c r="DI4" s="7" t="inlineStr">
        <is>
          <t>Construction of other civil works</t>
        </is>
      </c>
      <c r="DJ4" s="7" t="inlineStr">
        <is>
          <t>إنشاءات مدنية أخرى</t>
        </is>
      </c>
      <c r="DK4" s="7" t="inlineStr">
        <is>
          <t>أحمد الباحث</t>
        </is>
      </c>
      <c r="DL4" s="7" t="inlineStr">
        <is>
          <t>Ahmed Enumerator</t>
        </is>
      </c>
      <c r="DM4" s="7" t="inlineStr">
        <is>
          <t>فاطمة المدقق</t>
        </is>
      </c>
      <c r="DN4" s="7" t="inlineStr">
        <is>
          <t>Fatima Auditor</t>
        </is>
      </c>
      <c r="DO4" s="7" t="inlineStr">
        <is>
          <t>CN-1000103</t>
        </is>
      </c>
      <c r="DP4" s="7" t="n">
        <v>0</v>
      </c>
      <c r="DQ4" s="7" t="n">
        <v>424000</v>
      </c>
      <c r="DR4" s="7" t="n">
        <v>116600</v>
      </c>
      <c r="DS4" s="7" t="n">
        <v>58300</v>
      </c>
      <c r="DT4" s="7" t="n">
        <v>159000</v>
      </c>
      <c r="DU4" s="7" t="n">
        <v>2650</v>
      </c>
      <c r="DV4" s="7" t="n">
        <v>0</v>
      </c>
      <c r="DW4" s="7" t="n">
        <v>0</v>
      </c>
      <c r="DX4" s="7" t="inlineStr"/>
      <c r="DY4" s="7" t="inlineStr"/>
      <c r="DZ4" s="7" t="inlineStr"/>
      <c r="EA4" s="7" t="n">
        <v>0</v>
      </c>
      <c r="EB4" s="7" t="n">
        <v>10</v>
      </c>
      <c r="EC4" s="7" t="inlineStr">
        <is>
          <t>auditor1</t>
        </is>
      </c>
      <c r="ED4" s="7" t="inlineStr">
        <is>
          <t>sup1</t>
        </is>
      </c>
      <c r="EE4" s="7" t="inlineStr">
        <is>
          <t>enum1</t>
        </is>
      </c>
      <c r="EF4" s="7" t="inlineStr">
        <is>
          <t>sup1</t>
        </is>
      </c>
    </row>
    <row r="5">
      <c r="A5" s="7" t="inlineStr">
        <is>
          <t>F104</t>
        </is>
      </c>
      <c r="B5" s="7" t="inlineStr">
        <is>
          <t>Establishment 4 LLC</t>
        </is>
      </c>
      <c r="C5" s="7" t="n">
        <v>2026</v>
      </c>
      <c r="D5" s="7" t="inlineStr">
        <is>
          <t>Q3</t>
        </is>
      </c>
      <c r="E5" s="7" t="n">
        <v>4</v>
      </c>
      <c r="F5" s="7" t="n">
        <v>1</v>
      </c>
      <c r="G5" s="7" t="inlineStr">
        <is>
          <t>Building 4, Abu Dhabi</t>
        </is>
      </c>
      <c r="H5" s="7" t="inlineStr">
        <is>
          <t>Transport</t>
        </is>
      </c>
      <c r="I5" s="7" t="inlineStr">
        <is>
          <t>نقل</t>
        </is>
      </c>
      <c r="J5" s="7" t="inlineStr">
        <is>
          <t>4923</t>
        </is>
      </c>
      <c r="K5" s="7" t="inlineStr">
        <is>
          <t>Freight transport by road</t>
        </is>
      </c>
      <c r="L5" s="7" t="inlineStr">
        <is>
          <t>نقل البضائع بالطرق البرية</t>
        </is>
      </c>
      <c r="M5" s="7" t="inlineStr">
        <is>
          <t>ليلى الباحثة</t>
        </is>
      </c>
      <c r="N5" s="7" t="inlineStr">
        <is>
          <t>Layla Enumerator</t>
        </is>
      </c>
      <c r="O5" s="7" t="inlineStr">
        <is>
          <t>محمد المدقق</t>
        </is>
      </c>
      <c r="P5" s="7" t="inlineStr">
        <is>
          <t>Mohammed Auditor</t>
        </is>
      </c>
      <c r="Q5" s="7" t="inlineStr">
        <is>
          <t>CN-1000104</t>
        </is>
      </c>
      <c r="R5" s="7" t="n">
        <v>0</v>
      </c>
      <c r="S5" s="7" t="n">
        <v>488320</v>
      </c>
      <c r="T5" s="7" t="n">
        <v>134288</v>
      </c>
      <c r="U5" s="7" t="n">
        <v>67144</v>
      </c>
      <c r="V5" s="7" t="n">
        <v>183120</v>
      </c>
      <c r="W5" s="7" t="n">
        <v>3052</v>
      </c>
      <c r="X5" s="7" t="n">
        <v>0</v>
      </c>
      <c r="Y5" s="7" t="n">
        <v>0</v>
      </c>
      <c r="Z5" s="7" t="inlineStr"/>
      <c r="AA5" s="7" t="inlineStr"/>
      <c r="AB5" s="7" t="inlineStr"/>
      <c r="AC5" s="7" t="n">
        <v>0</v>
      </c>
      <c r="AD5" s="7" t="inlineStr"/>
      <c r="AE5" s="7" t="n">
        <v>14</v>
      </c>
      <c r="AF5" s="7" t="inlineStr">
        <is>
          <t>auditor1</t>
        </is>
      </c>
      <c r="AG5" s="7" t="inlineStr">
        <is>
          <t>sup1</t>
        </is>
      </c>
      <c r="AH5" s="7" t="inlineStr">
        <is>
          <t>enum1</t>
        </is>
      </c>
      <c r="AI5" s="7" t="inlineStr">
        <is>
          <t>sup1</t>
        </is>
      </c>
      <c r="AJ5" s="7" t="inlineStr">
        <is>
          <t>Establishment 4 LLC</t>
        </is>
      </c>
      <c r="AK5" s="7" t="n">
        <v>2026</v>
      </c>
      <c r="AL5" s="7" t="inlineStr">
        <is>
          <t>Q2</t>
        </is>
      </c>
      <c r="AM5" s="7" t="n">
        <v>4</v>
      </c>
      <c r="AN5" s="7" t="n">
        <v>1</v>
      </c>
      <c r="AO5" s="7" t="inlineStr">
        <is>
          <t>Building 4, Abu Dhabi</t>
        </is>
      </c>
      <c r="AP5" s="7" t="inlineStr">
        <is>
          <t>Transport</t>
        </is>
      </c>
      <c r="AQ5" s="7" t="inlineStr">
        <is>
          <t>نقل</t>
        </is>
      </c>
      <c r="AR5" s="7" t="inlineStr">
        <is>
          <t>4923</t>
        </is>
      </c>
      <c r="AS5" s="7" t="inlineStr">
        <is>
          <t>Freight transport by road</t>
        </is>
      </c>
      <c r="AT5" s="7" t="inlineStr">
        <is>
          <t>نقل البضائع بالطرق البرية</t>
        </is>
      </c>
      <c r="AU5" s="7" t="inlineStr">
        <is>
          <t>ليلى الباحثة</t>
        </is>
      </c>
      <c r="AV5" s="7" t="inlineStr">
        <is>
          <t>Layla Enumerator</t>
        </is>
      </c>
      <c r="AW5" s="7" t="inlineStr">
        <is>
          <t>محمد المدقق</t>
        </is>
      </c>
      <c r="AX5" s="7" t="inlineStr">
        <is>
          <t>Mohammed Auditor</t>
        </is>
      </c>
      <c r="AY5" s="7" t="inlineStr">
        <is>
          <t>CN-1000104</t>
        </is>
      </c>
      <c r="AZ5" s="7" t="n">
        <v>0</v>
      </c>
      <c r="BA5" s="7" t="n">
        <v>414200</v>
      </c>
      <c r="BB5" s="7" t="n">
        <v>113905</v>
      </c>
      <c r="BC5" s="7" t="n">
        <v>56953</v>
      </c>
      <c r="BD5" s="7" t="n">
        <v>155325</v>
      </c>
      <c r="BE5" s="7" t="n">
        <v>2589</v>
      </c>
      <c r="BF5" s="7" t="n">
        <v>0</v>
      </c>
      <c r="BG5" s="7" t="n">
        <v>0</v>
      </c>
      <c r="BH5" s="7" t="inlineStr"/>
      <c r="BI5" s="7" t="inlineStr"/>
      <c r="BJ5" s="7" t="inlineStr"/>
      <c r="BK5" s="7" t="n">
        <v>0</v>
      </c>
      <c r="BL5" s="7" t="inlineStr"/>
      <c r="BM5" s="7" t="n">
        <v>13</v>
      </c>
      <c r="BN5" s="7" t="inlineStr">
        <is>
          <t>auditor1</t>
        </is>
      </c>
      <c r="BO5" s="7" t="inlineStr">
        <is>
          <t>sup1</t>
        </is>
      </c>
      <c r="BP5" s="7" t="inlineStr">
        <is>
          <t>enum1</t>
        </is>
      </c>
      <c r="BQ5" s="7" t="inlineStr">
        <is>
          <t>sup1</t>
        </is>
      </c>
      <c r="BR5" s="7" t="inlineStr">
        <is>
          <t>Establishment 4 LLC</t>
        </is>
      </c>
      <c r="BS5" s="7" t="n">
        <v>2026</v>
      </c>
      <c r="BT5" s="7" t="inlineStr">
        <is>
          <t>Q1</t>
        </is>
      </c>
      <c r="BU5" s="7" t="n">
        <v>4</v>
      </c>
      <c r="BV5" s="7" t="n">
        <v>1</v>
      </c>
      <c r="BW5" s="7" t="inlineStr">
        <is>
          <t>Building 4, Abu Dhabi</t>
        </is>
      </c>
      <c r="BX5" s="7" t="inlineStr">
        <is>
          <t>Transport</t>
        </is>
      </c>
      <c r="BY5" s="7" t="inlineStr">
        <is>
          <t>نقل</t>
        </is>
      </c>
      <c r="BZ5" s="7" t="inlineStr">
        <is>
          <t>4923</t>
        </is>
      </c>
      <c r="CA5" s="7" t="inlineStr">
        <is>
          <t>Freight transport by road</t>
        </is>
      </c>
      <c r="CB5" s="7" t="inlineStr">
        <is>
          <t>نقل البضائع بالطرق البرية</t>
        </is>
      </c>
      <c r="CC5" s="7" t="inlineStr">
        <is>
          <t>ليلى الباحثة</t>
        </is>
      </c>
      <c r="CD5" s="7" t="inlineStr">
        <is>
          <t>Layla Enumerator</t>
        </is>
      </c>
      <c r="CE5" s="7" t="inlineStr">
        <is>
          <t>محمد المدقق</t>
        </is>
      </c>
      <c r="CF5" s="7" t="inlineStr">
        <is>
          <t>Mohammed Auditor</t>
        </is>
      </c>
      <c r="CG5" s="7" t="inlineStr">
        <is>
          <t>CN-1000104</t>
        </is>
      </c>
      <c r="CH5" s="7" t="n">
        <v>0</v>
      </c>
      <c r="CI5" s="7" t="n">
        <v>470880</v>
      </c>
      <c r="CJ5" s="7" t="n">
        <v>129492</v>
      </c>
      <c r="CK5" s="7" t="n">
        <v>64746</v>
      </c>
      <c r="CL5" s="7" t="n">
        <v>176580</v>
      </c>
      <c r="CM5" s="7" t="n">
        <v>2943</v>
      </c>
      <c r="CN5" s="7" t="n">
        <v>0</v>
      </c>
      <c r="CO5" s="7" t="n">
        <v>0</v>
      </c>
      <c r="CP5" s="7" t="inlineStr"/>
      <c r="CQ5" s="7" t="inlineStr"/>
      <c r="CR5" s="7" t="inlineStr"/>
      <c r="CS5" s="7" t="n">
        <v>0</v>
      </c>
      <c r="CT5" s="7" t="inlineStr"/>
      <c r="CU5" s="7" t="n">
        <v>12</v>
      </c>
      <c r="CV5" s="7" t="inlineStr">
        <is>
          <t>auditor1</t>
        </is>
      </c>
      <c r="CW5" s="7" t="inlineStr">
        <is>
          <t>sup1</t>
        </is>
      </c>
      <c r="CX5" s="7" t="inlineStr">
        <is>
          <t>enum1</t>
        </is>
      </c>
      <c r="CY5" s="7" t="inlineStr">
        <is>
          <t>sup1</t>
        </is>
      </c>
      <c r="CZ5" s="7" t="inlineStr">
        <is>
          <t>Establishment 4 LLC</t>
        </is>
      </c>
      <c r="DA5" s="7" t="n">
        <v>2025</v>
      </c>
      <c r="DB5" s="7" t="inlineStr">
        <is>
          <t>Q4</t>
        </is>
      </c>
      <c r="DC5" s="7" t="n">
        <v>4</v>
      </c>
      <c r="DD5" s="7" t="n">
        <v>1</v>
      </c>
      <c r="DE5" s="7" t="inlineStr">
        <is>
          <t>Building 4, Abu Dhabi</t>
        </is>
      </c>
      <c r="DF5" s="7" t="inlineStr">
        <is>
          <t>Transport</t>
        </is>
      </c>
      <c r="DG5" s="7" t="inlineStr">
        <is>
          <t>نقل</t>
        </is>
      </c>
      <c r="DH5" s="7" t="inlineStr">
        <is>
          <t>4923</t>
        </is>
      </c>
      <c r="DI5" s="7" t="inlineStr">
        <is>
          <t>Freight transport by road</t>
        </is>
      </c>
      <c r="DJ5" s="7" t="inlineStr">
        <is>
          <t>نقل البضائع بالطرق البرية</t>
        </is>
      </c>
      <c r="DK5" s="7" t="inlineStr">
        <is>
          <t>ليلى الباحثة</t>
        </is>
      </c>
      <c r="DL5" s="7" t="inlineStr">
        <is>
          <t>Layla Enumerator</t>
        </is>
      </c>
      <c r="DM5" s="7" t="inlineStr">
        <is>
          <t>محمد المدقق</t>
        </is>
      </c>
      <c r="DN5" s="7" t="inlineStr">
        <is>
          <t>Mohammed Auditor</t>
        </is>
      </c>
      <c r="DO5" s="7" t="inlineStr">
        <is>
          <t>CN-1000104</t>
        </is>
      </c>
      <c r="DP5" s="7" t="n">
        <v>0</v>
      </c>
      <c r="DQ5" s="7" t="n">
        <v>436000</v>
      </c>
      <c r="DR5" s="7" t="n">
        <v>119900</v>
      </c>
      <c r="DS5" s="7" t="n">
        <v>59950</v>
      </c>
      <c r="DT5" s="7" t="n">
        <v>163500</v>
      </c>
      <c r="DU5" s="7" t="n">
        <v>2725</v>
      </c>
      <c r="DV5" s="7" t="n">
        <v>0</v>
      </c>
      <c r="DW5" s="7" t="n">
        <v>0</v>
      </c>
      <c r="DX5" s="7" t="inlineStr"/>
      <c r="DY5" s="7" t="inlineStr"/>
      <c r="DZ5" s="7" t="inlineStr"/>
      <c r="EA5" s="7" t="n">
        <v>0</v>
      </c>
      <c r="EB5" s="7" t="n">
        <v>11</v>
      </c>
      <c r="EC5" s="7" t="inlineStr">
        <is>
          <t>auditor1</t>
        </is>
      </c>
      <c r="ED5" s="7" t="inlineStr">
        <is>
          <t>sup1</t>
        </is>
      </c>
      <c r="EE5" s="7" t="inlineStr">
        <is>
          <t>enum1</t>
        </is>
      </c>
      <c r="EF5" s="7" t="inlineStr">
        <is>
          <t>sup1</t>
        </is>
      </c>
    </row>
    <row r="6">
      <c r="A6" s="7" t="inlineStr">
        <is>
          <t>F105</t>
        </is>
      </c>
      <c r="B6" s="7" t="inlineStr">
        <is>
          <t>Establishment 5 LLC</t>
        </is>
      </c>
      <c r="C6" s="7" t="n">
        <v>2026</v>
      </c>
      <c r="D6" s="7" t="inlineStr">
        <is>
          <t>Q3</t>
        </is>
      </c>
      <c r="E6" s="7" t="n">
        <v>1</v>
      </c>
      <c r="F6" s="7" t="n">
        <v>2</v>
      </c>
      <c r="G6" s="7" t="inlineStr">
        <is>
          <t>Building 5, Abu Dhabi</t>
        </is>
      </c>
      <c r="H6" s="7" t="inlineStr">
        <is>
          <t>Trade</t>
        </is>
      </c>
      <c r="I6" s="7" t="inlineStr">
        <is>
          <t>تجارة</t>
        </is>
      </c>
      <c r="J6" s="7" t="inlineStr">
        <is>
          <t>4610</t>
        </is>
      </c>
      <c r="K6" s="7" t="inlineStr">
        <is>
          <t>Wholesale trade</t>
        </is>
      </c>
      <c r="L6" s="7" t="inlineStr">
        <is>
          <t>تجارة الجملة</t>
        </is>
      </c>
      <c r="M6" s="7" t="inlineStr">
        <is>
          <t>أحمد الباحث</t>
        </is>
      </c>
      <c r="N6" s="7" t="inlineStr">
        <is>
          <t>Ahmed Enumerator</t>
        </is>
      </c>
      <c r="O6" s="7" t="inlineStr">
        <is>
          <t>فاطمة المدقق</t>
        </is>
      </c>
      <c r="P6" s="7" t="inlineStr">
        <is>
          <t>Fatima Auditor</t>
        </is>
      </c>
      <c r="Q6" s="7" t="inlineStr">
        <is>
          <t>CN-1000105</t>
        </is>
      </c>
      <c r="R6" s="7" t="n">
        <v>0</v>
      </c>
      <c r="S6" s="7" t="n">
        <v>501760</v>
      </c>
      <c r="T6" s="7" t="n">
        <v>137984</v>
      </c>
      <c r="U6" s="7" t="n">
        <v>68992</v>
      </c>
      <c r="V6" s="7" t="n">
        <v>188160</v>
      </c>
      <c r="W6" s="7" t="n">
        <v>3136</v>
      </c>
      <c r="X6" s="7" t="n">
        <v>35123</v>
      </c>
      <c r="Y6" s="7" t="n">
        <v>21280</v>
      </c>
      <c r="Z6" s="7" t="inlineStr"/>
      <c r="AA6" s="7" t="inlineStr"/>
      <c r="AB6" s="7" t="inlineStr"/>
      <c r="AC6" s="7" t="n">
        <v>25088</v>
      </c>
      <c r="AD6" s="7" t="inlineStr"/>
      <c r="AE6" s="7" t="n">
        <v>15</v>
      </c>
      <c r="AF6" s="7" t="inlineStr">
        <is>
          <t>auditor1</t>
        </is>
      </c>
      <c r="AG6" s="7" t="inlineStr">
        <is>
          <t>sup1</t>
        </is>
      </c>
      <c r="AH6" s="7" t="inlineStr">
        <is>
          <t>enum1</t>
        </is>
      </c>
      <c r="AI6" s="7" t="inlineStr">
        <is>
          <t>sup1</t>
        </is>
      </c>
      <c r="AJ6" s="7" t="inlineStr">
        <is>
          <t>Establishment 5 LLC</t>
        </is>
      </c>
      <c r="AK6" s="7" t="n">
        <v>2026</v>
      </c>
      <c r="AL6" s="7" t="inlineStr">
        <is>
          <t>Q2</t>
        </is>
      </c>
      <c r="AM6" s="7" t="n">
        <v>1</v>
      </c>
      <c r="AN6" s="7" t="n">
        <v>2</v>
      </c>
      <c r="AO6" s="7" t="inlineStr">
        <is>
          <t>Building 5, Abu Dhabi</t>
        </is>
      </c>
      <c r="AP6" s="7" t="inlineStr">
        <is>
          <t>Trade</t>
        </is>
      </c>
      <c r="AQ6" s="7" t="inlineStr">
        <is>
          <t>تجارة</t>
        </is>
      </c>
      <c r="AR6" s="7" t="inlineStr">
        <is>
          <t>4610</t>
        </is>
      </c>
      <c r="AS6" s="7" t="inlineStr">
        <is>
          <t>Wholesale trade</t>
        </is>
      </c>
      <c r="AT6" s="7" t="inlineStr">
        <is>
          <t>تجارة الجملة</t>
        </is>
      </c>
      <c r="AU6" s="7" t="inlineStr">
        <is>
          <t>أحمد الباحث</t>
        </is>
      </c>
      <c r="AV6" s="7" t="inlineStr">
        <is>
          <t>Ahmed Enumerator</t>
        </is>
      </c>
      <c r="AW6" s="7" t="inlineStr">
        <is>
          <t>فاطمة المدقق</t>
        </is>
      </c>
      <c r="AX6" s="7" t="inlineStr">
        <is>
          <t>Fatima Auditor</t>
        </is>
      </c>
      <c r="AY6" s="7" t="inlineStr">
        <is>
          <t>CN-1000105</t>
        </is>
      </c>
      <c r="AZ6" s="7" t="n">
        <v>0</v>
      </c>
      <c r="BA6" s="7" t="n">
        <v>425600</v>
      </c>
      <c r="BB6" s="7" t="n">
        <v>117040</v>
      </c>
      <c r="BC6" s="7" t="n">
        <v>58520</v>
      </c>
      <c r="BD6" s="7" t="n">
        <v>159600</v>
      </c>
      <c r="BE6" s="7" t="n">
        <v>2660</v>
      </c>
      <c r="BF6" s="7" t="n">
        <v>29792</v>
      </c>
      <c r="BG6" s="7" t="n">
        <v>24192</v>
      </c>
      <c r="BH6" s="7" t="inlineStr"/>
      <c r="BI6" s="7" t="inlineStr"/>
      <c r="BJ6" s="7" t="inlineStr"/>
      <c r="BK6" s="7" t="n">
        <v>21280</v>
      </c>
      <c r="BL6" s="7" t="inlineStr"/>
      <c r="BM6" s="7" t="n">
        <v>14</v>
      </c>
      <c r="BN6" s="7" t="inlineStr">
        <is>
          <t>auditor1</t>
        </is>
      </c>
      <c r="BO6" s="7" t="inlineStr">
        <is>
          <t>sup1</t>
        </is>
      </c>
      <c r="BP6" s="7" t="inlineStr">
        <is>
          <t>enum1</t>
        </is>
      </c>
      <c r="BQ6" s="7" t="inlineStr">
        <is>
          <t>sup1</t>
        </is>
      </c>
      <c r="BR6" s="7" t="inlineStr">
        <is>
          <t>Establishment 5 LLC</t>
        </is>
      </c>
      <c r="BS6" s="7" t="n">
        <v>2026</v>
      </c>
      <c r="BT6" s="7" t="inlineStr">
        <is>
          <t>Q1</t>
        </is>
      </c>
      <c r="BU6" s="7" t="n">
        <v>1</v>
      </c>
      <c r="BV6" s="7" t="n">
        <v>2</v>
      </c>
      <c r="BW6" s="7" t="inlineStr">
        <is>
          <t>Building 5, Abu Dhabi</t>
        </is>
      </c>
      <c r="BX6" s="7" t="inlineStr">
        <is>
          <t>Trade</t>
        </is>
      </c>
      <c r="BY6" s="7" t="inlineStr">
        <is>
          <t>تجارة</t>
        </is>
      </c>
      <c r="BZ6" s="7" t="inlineStr">
        <is>
          <t>4610</t>
        </is>
      </c>
      <c r="CA6" s="7" t="inlineStr">
        <is>
          <t>Wholesale trade</t>
        </is>
      </c>
      <c r="CB6" s="7" t="inlineStr">
        <is>
          <t>تجارة الجملة</t>
        </is>
      </c>
      <c r="CC6" s="7" t="inlineStr">
        <is>
          <t>أحمد الباحث</t>
        </is>
      </c>
      <c r="CD6" s="7" t="inlineStr">
        <is>
          <t>Ahmed Enumerator</t>
        </is>
      </c>
      <c r="CE6" s="7" t="inlineStr">
        <is>
          <t>فاطمة المدقق</t>
        </is>
      </c>
      <c r="CF6" s="7" t="inlineStr">
        <is>
          <t>Fatima Auditor</t>
        </is>
      </c>
      <c r="CG6" s="7" t="inlineStr">
        <is>
          <t>CN-1000105</t>
        </is>
      </c>
      <c r="CH6" s="7" t="n">
        <v>0</v>
      </c>
      <c r="CI6" s="7" t="n">
        <v>483840</v>
      </c>
      <c r="CJ6" s="7" t="n">
        <v>133056</v>
      </c>
      <c r="CK6" s="7" t="n">
        <v>66528</v>
      </c>
      <c r="CL6" s="7" t="n">
        <v>181440</v>
      </c>
      <c r="CM6" s="7" t="n">
        <v>3024</v>
      </c>
      <c r="CN6" s="7" t="n">
        <v>33869</v>
      </c>
      <c r="CO6" s="7" t="n">
        <v>22400</v>
      </c>
      <c r="CP6" s="7" t="inlineStr"/>
      <c r="CQ6" s="7" t="inlineStr"/>
      <c r="CR6" s="7" t="inlineStr"/>
      <c r="CS6" s="7" t="n">
        <v>24192</v>
      </c>
      <c r="CT6" s="7" t="inlineStr"/>
      <c r="CU6" s="7" t="n">
        <v>13</v>
      </c>
      <c r="CV6" s="7" t="inlineStr">
        <is>
          <t>auditor1</t>
        </is>
      </c>
      <c r="CW6" s="7" t="inlineStr">
        <is>
          <t>sup1</t>
        </is>
      </c>
      <c r="CX6" s="7" t="inlineStr">
        <is>
          <t>enum1</t>
        </is>
      </c>
      <c r="CY6" s="7" t="inlineStr">
        <is>
          <t>sup1</t>
        </is>
      </c>
      <c r="CZ6" s="7" t="inlineStr">
        <is>
          <t>Establishment 5 LLC</t>
        </is>
      </c>
      <c r="DA6" s="7" t="n">
        <v>2025</v>
      </c>
      <c r="DB6" s="7" t="inlineStr">
        <is>
          <t>Q4</t>
        </is>
      </c>
      <c r="DC6" s="7" t="n">
        <v>1</v>
      </c>
      <c r="DD6" s="7" t="n">
        <v>2</v>
      </c>
      <c r="DE6" s="7" t="inlineStr">
        <is>
          <t>Building 5, Abu Dhabi</t>
        </is>
      </c>
      <c r="DF6" s="7" t="inlineStr">
        <is>
          <t>Trade</t>
        </is>
      </c>
      <c r="DG6" s="7" t="inlineStr">
        <is>
          <t>تجارة</t>
        </is>
      </c>
      <c r="DH6" s="7" t="inlineStr">
        <is>
          <t>4610</t>
        </is>
      </c>
      <c r="DI6" s="7" t="inlineStr">
        <is>
          <t>Wholesale trade</t>
        </is>
      </c>
      <c r="DJ6" s="7" t="inlineStr">
        <is>
          <t>تجارة الجملة</t>
        </is>
      </c>
      <c r="DK6" s="7" t="inlineStr">
        <is>
          <t>أحمد الباحث</t>
        </is>
      </c>
      <c r="DL6" s="7" t="inlineStr">
        <is>
          <t>Ahmed Enumerator</t>
        </is>
      </c>
      <c r="DM6" s="7" t="inlineStr">
        <is>
          <t>فاطمة المدقق</t>
        </is>
      </c>
      <c r="DN6" s="7" t="inlineStr">
        <is>
          <t>Fatima Auditor</t>
        </is>
      </c>
      <c r="DO6" s="7" t="inlineStr">
        <is>
          <t>CN-1000105</t>
        </is>
      </c>
      <c r="DP6" s="7" t="n">
        <v>0</v>
      </c>
      <c r="DQ6" s="7" t="n">
        <v>448000</v>
      </c>
      <c r="DR6" s="7" t="n">
        <v>123200</v>
      </c>
      <c r="DS6" s="7" t="n">
        <v>61600</v>
      </c>
      <c r="DT6" s="7" t="n">
        <v>168000</v>
      </c>
      <c r="DU6" s="7" t="n">
        <v>2800</v>
      </c>
      <c r="DV6" s="7" t="n">
        <v>31360</v>
      </c>
      <c r="DW6" s="7" t="n">
        <v>20160</v>
      </c>
      <c r="DX6" s="7" t="inlineStr"/>
      <c r="DY6" s="7" t="inlineStr"/>
      <c r="DZ6" s="7" t="inlineStr"/>
      <c r="EA6" s="7" t="n">
        <v>22400</v>
      </c>
      <c r="EB6" s="7" t="n">
        <v>12</v>
      </c>
      <c r="EC6" s="7" t="inlineStr">
        <is>
          <t>auditor1</t>
        </is>
      </c>
      <c r="ED6" s="7" t="inlineStr">
        <is>
          <t>sup1</t>
        </is>
      </c>
      <c r="EE6" s="7" t="inlineStr">
        <is>
          <t>enum1</t>
        </is>
      </c>
      <c r="EF6" s="7" t="inlineStr">
        <is>
          <t>sup1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</cols>
  <sheetData>
    <row r="1">
      <c r="A1" s="6" t="inlineStr">
        <is>
          <t>FRAMEID</t>
        </is>
      </c>
      <c r="B1" s="6" t="inlineStr">
        <is>
          <t>ESTABLISHMENT_NAME</t>
        </is>
      </c>
      <c r="C1" s="6" t="inlineStr">
        <is>
          <t>Q3_2026_STRATUM</t>
        </is>
      </c>
      <c r="D1" s="6" t="inlineStr">
        <is>
          <t>LICENSE_NUMBER</t>
        </is>
      </c>
      <c r="E1" s="6" t="inlineStr">
        <is>
          <t>Q3_2026_VISIT_STATUS_EN</t>
        </is>
      </c>
      <c r="F1" s="6" t="inlineStr">
        <is>
          <t>Q3_2026_VISIT_STATUS_AR</t>
        </is>
      </c>
      <c r="G1" s="6" t="inlineStr">
        <is>
          <t>Q3_2026_ENUMERATOR_NAME</t>
        </is>
      </c>
      <c r="H1" s="6" t="inlineStr">
        <is>
          <t>Q3_2026_AUDITOR_NAME</t>
        </is>
      </c>
      <c r="I1" s="6" t="inlineStr">
        <is>
          <t>Q3_2026_ISIC4</t>
        </is>
      </c>
      <c r="J1" s="6" t="inlineStr">
        <is>
          <t>Q3_2026_ISIC4_DESC_EN</t>
        </is>
      </c>
      <c r="K1" s="6" t="inlineStr">
        <is>
          <t>Q3_2026_ISIC4_DESC_AR</t>
        </is>
      </c>
      <c r="L1" s="6" t="inlineStr">
        <is>
          <t>Q3_2026_Total_of_Current_Assets</t>
        </is>
      </c>
      <c r="M1" s="6" t="inlineStr">
        <is>
          <t>CURR_AS_Q3_D</t>
        </is>
      </c>
      <c r="N1" s="6" t="inlineStr">
        <is>
          <t>CURR_AS_Q3_D_PREV</t>
        </is>
      </c>
      <c r="O1" s="6" t="inlineStr">
        <is>
          <t>CURR_AS_Q3_E</t>
        </is>
      </c>
      <c r="P1" s="6" t="inlineStr">
        <is>
          <t>CURR_AS_Q3_E_PREV</t>
        </is>
      </c>
      <c r="Q1" s="6" t="inlineStr">
        <is>
          <t>Q3_2026_Total_of _Non-Current_Assets</t>
        </is>
      </c>
      <c r="R1" s="6" t="inlineStr">
        <is>
          <t>NCURR_AS_Q4_D</t>
        </is>
      </c>
      <c r="S1" s="6" t="inlineStr">
        <is>
          <t>NCURR_AS_Q4_D_PREV</t>
        </is>
      </c>
      <c r="T1" s="6" t="inlineStr">
        <is>
          <t>NCURR_AS_Q4_E</t>
        </is>
      </c>
      <c r="U1" s="6" t="inlineStr">
        <is>
          <t>NCURR_AS_Q4_E_PREV</t>
        </is>
      </c>
      <c r="V1" s="6" t="inlineStr">
        <is>
          <t>Q3_2026_Total_of_Current_Liabilities</t>
        </is>
      </c>
      <c r="W1" s="6" t="inlineStr">
        <is>
          <t>CURR_LIAB_Q5C</t>
        </is>
      </c>
      <c r="X1" s="6" t="inlineStr">
        <is>
          <t>CURR_LIAB_Q5C_PREV</t>
        </is>
      </c>
      <c r="Y1" s="6" t="inlineStr">
        <is>
          <t>CURR_LIAB_Q5D</t>
        </is>
      </c>
      <c r="Z1" s="6" t="inlineStr">
        <is>
          <t>CURR_LIAB_Q5D_PREV</t>
        </is>
      </c>
      <c r="AA1" s="6" t="inlineStr">
        <is>
          <t>Q3_2026_Total_of_Long-Term_Liabilities</t>
        </is>
      </c>
      <c r="AB1" s="6" t="inlineStr">
        <is>
          <t>LNG_LIAB_Q6C</t>
        </is>
      </c>
      <c r="AC1" s="6" t="inlineStr">
        <is>
          <t>LNG_LIAB_Q6C_PREV</t>
        </is>
      </c>
      <c r="AD1" s="6" t="inlineStr">
        <is>
          <t>LNG_LIAB_Q6D</t>
        </is>
      </c>
      <c r="AE1" s="6" t="inlineStr">
        <is>
          <t>LNG_LIAB_Q6D_PREV</t>
        </is>
      </c>
      <c r="AF1" s="6" t="inlineStr">
        <is>
          <t>Q3_2026_Total_Equity</t>
        </is>
      </c>
      <c r="AG1" s="6" t="inlineStr">
        <is>
          <t>Q3_2026_7.2_Paid-up _Capital_Stock</t>
        </is>
      </c>
      <c r="AH1" s="6" t="inlineStr">
        <is>
          <t>Q3_2026_7.3_Other_Equity</t>
        </is>
      </c>
      <c r="AI1" s="6" t="inlineStr">
        <is>
          <t>Q3_2026_AUDITOR_NAME</t>
        </is>
      </c>
      <c r="AJ1" s="6" t="inlineStr">
        <is>
          <t>Q3_2026_Auditor_User_Name</t>
        </is>
      </c>
      <c r="AK1" s="6" t="inlineStr">
        <is>
          <t>Q3_2026_AUD_Supervisor_USER_Name</t>
        </is>
      </c>
      <c r="AL1" s="6" t="inlineStr">
        <is>
          <t>Q3_2026_ENUMERATOR_User_name</t>
        </is>
      </c>
      <c r="AM1" s="6" t="inlineStr">
        <is>
          <t>Q3_2026_ENU_Supervisor_User_Name</t>
        </is>
      </c>
      <c r="AN1" s="6" t="inlineStr">
        <is>
          <t>Right_FRAMEID</t>
        </is>
      </c>
      <c r="AO1" s="6" t="inlineStr">
        <is>
          <t>Right_ESTABLISHMENT_NAME</t>
        </is>
      </c>
      <c r="AP1" s="6" t="inlineStr">
        <is>
          <t>Q2_2026_STRATUM</t>
        </is>
      </c>
      <c r="AQ1" s="6" t="inlineStr">
        <is>
          <t>Right_LICENSE_NUMBER</t>
        </is>
      </c>
      <c r="AR1" s="6" t="inlineStr">
        <is>
          <t>Q2_2026_VISIT_STATUS_EN</t>
        </is>
      </c>
      <c r="AS1" s="6" t="inlineStr">
        <is>
          <t>Q2_2026_VISIT_STATUS_AR</t>
        </is>
      </c>
      <c r="AT1" s="6" t="inlineStr">
        <is>
          <t>Q2_2026_ENUMERATOR_NAME</t>
        </is>
      </c>
      <c r="AU1" s="6" t="inlineStr">
        <is>
          <t>Q2_2026_AUDITOR_NAME</t>
        </is>
      </c>
      <c r="AV1" s="6" t="inlineStr">
        <is>
          <t>Q2_2026_ISIC4</t>
        </is>
      </c>
      <c r="AW1" s="6" t="inlineStr">
        <is>
          <t>Q2_2026_ISIC4_DESC_EN</t>
        </is>
      </c>
      <c r="AX1" s="6" t="inlineStr">
        <is>
          <t>Q2_2026_ISIC4_DESC_AR</t>
        </is>
      </c>
      <c r="AY1" s="6" t="inlineStr">
        <is>
          <t>Q2_2026_Total_of_Current_Assets</t>
        </is>
      </c>
      <c r="AZ1" s="6" t="inlineStr">
        <is>
          <t>Right_CURR_AS_Q3_D</t>
        </is>
      </c>
      <c r="BA1" s="6" t="inlineStr">
        <is>
          <t>Right_CURR_AS_Q3_D_PREV</t>
        </is>
      </c>
      <c r="BB1" s="6" t="inlineStr">
        <is>
          <t>Right_CURR_AS_Q3_E</t>
        </is>
      </c>
      <c r="BC1" s="6" t="inlineStr">
        <is>
          <t>Right_CURR_AS_Q3_E_PREV</t>
        </is>
      </c>
      <c r="BD1" s="6" t="inlineStr">
        <is>
          <t>Q2_2026_Total_of _Non-Current_Assets</t>
        </is>
      </c>
      <c r="BE1" s="6" t="inlineStr">
        <is>
          <t>Right_NCURR_AS_Q4_D</t>
        </is>
      </c>
      <c r="BF1" s="6" t="inlineStr">
        <is>
          <t>Right_NCURR_AS_Q4_D_PREV</t>
        </is>
      </c>
      <c r="BG1" s="6" t="inlineStr">
        <is>
          <t>Right_NCURR_AS_Q4_E</t>
        </is>
      </c>
      <c r="BH1" s="6" t="inlineStr">
        <is>
          <t>Right_NCURR_AS_Q4_E_PREV</t>
        </is>
      </c>
      <c r="BI1" s="6" t="inlineStr">
        <is>
          <t>Q2_2026_Total_of_Current_Liabilities</t>
        </is>
      </c>
      <c r="BJ1" s="6" t="inlineStr">
        <is>
          <t>Right_CURR_LIAB_Q5C</t>
        </is>
      </c>
      <c r="BK1" s="6" t="inlineStr">
        <is>
          <t>Right_CURR_LIAB_Q5C_PREV</t>
        </is>
      </c>
      <c r="BL1" s="6" t="inlineStr">
        <is>
          <t>Right_CURR_LIAB_Q5D</t>
        </is>
      </c>
      <c r="BM1" s="6" t="inlineStr">
        <is>
          <t>Right_CURR_LIAB_Q5D_PREV</t>
        </is>
      </c>
      <c r="BN1" s="6" t="inlineStr">
        <is>
          <t>Q2_2026_Total_of_Long-Term_Liabilities</t>
        </is>
      </c>
      <c r="BO1" s="6" t="inlineStr">
        <is>
          <t>Right_LNG_LIAB_Q6C</t>
        </is>
      </c>
      <c r="BP1" s="6" t="inlineStr">
        <is>
          <t>Right_LNG_LIAB_Q6C_PREV</t>
        </is>
      </c>
      <c r="BQ1" s="6" t="inlineStr">
        <is>
          <t>Right_LNG_LIAB_Q6D</t>
        </is>
      </c>
      <c r="BR1" s="6" t="inlineStr">
        <is>
          <t>Right_LNG_LIAB_Q6D_PREV</t>
        </is>
      </c>
      <c r="BS1" s="6" t="inlineStr">
        <is>
          <t>Q2_2026_Total_Equity</t>
        </is>
      </c>
      <c r="BT1" s="6" t="inlineStr">
        <is>
          <t>Q2_2026_7.2_Paid-up _Capital_Stock</t>
        </is>
      </c>
      <c r="BU1" s="6" t="inlineStr">
        <is>
          <t>Q2_2026_7.3_Other_Equity</t>
        </is>
      </c>
      <c r="BV1" s="6" t="inlineStr">
        <is>
          <t>Q2_2026_AUDITOR_NAME</t>
        </is>
      </c>
      <c r="BW1" s="6" t="inlineStr">
        <is>
          <t>Q2_2026_Auditor_User_Name</t>
        </is>
      </c>
      <c r="BX1" s="6" t="inlineStr">
        <is>
          <t>Q2_2026_AUD_Supervisor_USER_Name</t>
        </is>
      </c>
      <c r="BY1" s="6" t="inlineStr">
        <is>
          <t>Q2_2026_ENUMERATOR_User_name</t>
        </is>
      </c>
      <c r="BZ1" s="6" t="inlineStr">
        <is>
          <t>Q2_2026_ENU_Supervisor_User_Name</t>
        </is>
      </c>
      <c r="CA1" s="6" t="inlineStr">
        <is>
          <t>Q1_2026_STRATUM</t>
        </is>
      </c>
      <c r="CB1" s="6" t="inlineStr">
        <is>
          <t>Q1_2026_VISIT_STATUS_EN</t>
        </is>
      </c>
      <c r="CC1" s="6" t="inlineStr">
        <is>
          <t>Q1_2026_VISIT_STATUS_AR</t>
        </is>
      </c>
      <c r="CD1" s="6" t="inlineStr">
        <is>
          <t>Q1_2026_ENUMERATOR_NAME</t>
        </is>
      </c>
      <c r="CE1" s="6" t="inlineStr">
        <is>
          <t>Q1_2026_AUDITOR_NAME</t>
        </is>
      </c>
      <c r="CF1" s="6" t="inlineStr">
        <is>
          <t>Q1_2026_ISIC4</t>
        </is>
      </c>
      <c r="CG1" s="6" t="inlineStr">
        <is>
          <t>Q1_2026_ISIC4_DESC_EN</t>
        </is>
      </c>
      <c r="CH1" s="6" t="inlineStr">
        <is>
          <t>Q1_2026_ISIC4_DESC_AR</t>
        </is>
      </c>
      <c r="CI1" s="6" t="inlineStr">
        <is>
          <t>Q1_2026_Total_of_Current_Assets</t>
        </is>
      </c>
      <c r="CJ1" s="6" t="inlineStr">
        <is>
          <t>Total_of _Non-Current_Assets</t>
        </is>
      </c>
      <c r="CK1" s="6" t="inlineStr">
        <is>
          <t>Q1_2026_Total_of_Current_Liabilities</t>
        </is>
      </c>
      <c r="CL1" s="6" t="inlineStr">
        <is>
          <t>Q1_2026_Total_of_Long-Term_Liabilities</t>
        </is>
      </c>
      <c r="CM1" s="6" t="inlineStr">
        <is>
          <t>Q1_2026_Total_Equity</t>
        </is>
      </c>
      <c r="CN1" s="6" t="inlineStr">
        <is>
          <t>Q1_2026_7.2_Paid-up _Capital_Stock</t>
        </is>
      </c>
      <c r="CO1" s="6" t="inlineStr">
        <is>
          <t>Q1_2026_7.3_Other_Equity</t>
        </is>
      </c>
      <c r="CP1" s="6" t="inlineStr">
        <is>
          <t>Q1_2026_Auditor_User_Name</t>
        </is>
      </c>
      <c r="CQ1" s="6" t="inlineStr">
        <is>
          <t>Q1_2026_AUD_Supervisor_USER_Name</t>
        </is>
      </c>
      <c r="CR1" s="6" t="inlineStr">
        <is>
          <t>Q1_2026_ENUMERATOR_User_name</t>
        </is>
      </c>
      <c r="CS1" s="6" t="inlineStr">
        <is>
          <t>Q1_2026_ENU_Supervisor_User_Name</t>
        </is>
      </c>
      <c r="CT1" s="6" t="inlineStr">
        <is>
          <t>Q3_2025_STRATUM</t>
        </is>
      </c>
      <c r="CU1" s="6" t="inlineStr">
        <is>
          <t>Q3_2025_VISIT_STATUS_EN</t>
        </is>
      </c>
      <c r="CV1" s="6" t="inlineStr">
        <is>
          <t>Q3_2025_VISIT_STATUS_AR</t>
        </is>
      </c>
      <c r="CW1" s="6" t="inlineStr">
        <is>
          <t>Q3_2025_ENUMERATOR_NAME</t>
        </is>
      </c>
      <c r="CX1" s="6" t="inlineStr">
        <is>
          <t>Q3_2025_AUDITOR_NAME</t>
        </is>
      </c>
      <c r="CY1" s="6" t="inlineStr">
        <is>
          <t>Q3_2025_ISIC4</t>
        </is>
      </c>
      <c r="CZ1" s="6" t="inlineStr">
        <is>
          <t>Q3_2025_ISIC4_DESC_EN</t>
        </is>
      </c>
      <c r="DA1" s="6" t="inlineStr">
        <is>
          <t>Q3_2025_ISIC4_DESC_AR</t>
        </is>
      </c>
      <c r="DB1" s="6" t="inlineStr">
        <is>
          <t>Q3_2025_Total_of_Current_Assets</t>
        </is>
      </c>
      <c r="DC1" s="6" t="inlineStr">
        <is>
          <t>Q3_2025_Total_of _Non-Current_Assets</t>
        </is>
      </c>
      <c r="DD1" s="6" t="inlineStr">
        <is>
          <t>Q3_2025_Total_of_Current_Liabilities</t>
        </is>
      </c>
      <c r="DE1" s="6" t="inlineStr">
        <is>
          <t>Q3_2025_Total_of_Long-Term_Liabilities</t>
        </is>
      </c>
      <c r="DF1" s="6" t="inlineStr">
        <is>
          <t>Q3_2025_Total_Equity</t>
        </is>
      </c>
      <c r="DG1" s="6" t="inlineStr">
        <is>
          <t>Q3_2025_7.2_Paid-up _Capital_Stock</t>
        </is>
      </c>
      <c r="DH1" s="6" t="inlineStr">
        <is>
          <t>Q3_2025_7.3_Other_Equity</t>
        </is>
      </c>
      <c r="DI1" s="6" t="inlineStr">
        <is>
          <t>Q3_2025_Auditor_User_Name</t>
        </is>
      </c>
      <c r="DJ1" s="6" t="inlineStr">
        <is>
          <t>Q3_2025_AUD_Supervisor_USER_Name</t>
        </is>
      </c>
      <c r="DK1" s="6" t="inlineStr">
        <is>
          <t>Q3_2025_ENUMERATOR_User_name</t>
        </is>
      </c>
      <c r="DL1" s="6" t="inlineStr">
        <is>
          <t>Q3_2025_ENU_Supervisor_User_Name</t>
        </is>
      </c>
    </row>
    <row r="2">
      <c r="A2" s="7" t="inlineStr">
        <is>
          <t>F101</t>
        </is>
      </c>
      <c r="B2" s="7" t="inlineStr">
        <is>
          <t>Establishment 1 LLC</t>
        </is>
      </c>
      <c r="C2" s="7" t="n">
        <v>1</v>
      </c>
      <c r="D2" s="7" t="inlineStr">
        <is>
          <t>CN-1000101</t>
        </is>
      </c>
      <c r="E2" s="7" t="inlineStr">
        <is>
          <t>Active</t>
        </is>
      </c>
      <c r="F2" s="7" t="inlineStr">
        <is>
          <t>نشطة</t>
        </is>
      </c>
      <c r="G2" s="7" t="inlineStr">
        <is>
          <t>Ahmed Enumerator</t>
        </is>
      </c>
      <c r="H2" s="7" t="inlineStr">
        <is>
          <t>Fatima Auditor</t>
        </is>
      </c>
      <c r="I2" s="7" t="inlineStr">
        <is>
          <t>4610</t>
        </is>
      </c>
      <c r="J2" s="7" t="inlineStr">
        <is>
          <t>Wholesale trade</t>
        </is>
      </c>
      <c r="K2" s="7" t="inlineStr">
        <is>
          <t>تجارة الجملة</t>
        </is>
      </c>
      <c r="L2" s="7" t="n">
        <v>313600</v>
      </c>
      <c r="M2" s="7" t="n">
        <v>109760</v>
      </c>
      <c r="N2" s="7" t="n">
        <v>93100</v>
      </c>
      <c r="O2" s="7" t="n">
        <v>156800</v>
      </c>
      <c r="P2" s="7" t="n">
        <v>133000</v>
      </c>
      <c r="Q2" s="7" t="n">
        <v>537600</v>
      </c>
      <c r="R2" s="7" t="n">
        <v>322560</v>
      </c>
      <c r="S2" s="7" t="n">
        <v>273600</v>
      </c>
      <c r="T2" s="7" t="n">
        <v>161280</v>
      </c>
      <c r="U2" s="7" t="n">
        <v>136800</v>
      </c>
      <c r="V2" s="7" t="n">
        <v>156800</v>
      </c>
      <c r="W2" s="7" t="n">
        <v>78400</v>
      </c>
      <c r="X2" s="7" t="n">
        <v>66500</v>
      </c>
      <c r="Y2" s="7" t="n">
        <v>47040</v>
      </c>
      <c r="Z2" s="7" t="n">
        <v>39900</v>
      </c>
      <c r="AA2" s="7" t="n">
        <v>212800</v>
      </c>
      <c r="AB2" s="7" t="n">
        <v>117040</v>
      </c>
      <c r="AC2" s="7" t="n">
        <v>99275</v>
      </c>
      <c r="AD2" s="7" t="n">
        <v>53200</v>
      </c>
      <c r="AE2" s="7" t="n">
        <v>45125</v>
      </c>
      <c r="AF2" s="7" t="n">
        <v>481600</v>
      </c>
      <c r="AG2" s="7" t="n">
        <v>288960</v>
      </c>
      <c r="AH2" s="7" t="n">
        <v>192640</v>
      </c>
      <c r="AI2" s="7" t="inlineStr">
        <is>
          <t>Fatima Auditor</t>
        </is>
      </c>
      <c r="AJ2" s="7" t="inlineStr">
        <is>
          <t>auditor1</t>
        </is>
      </c>
      <c r="AK2" s="7" t="inlineStr">
        <is>
          <t>sup1</t>
        </is>
      </c>
      <c r="AL2" s="7" t="inlineStr">
        <is>
          <t>enum1</t>
        </is>
      </c>
      <c r="AM2" s="7" t="inlineStr">
        <is>
          <t>sup1</t>
        </is>
      </c>
      <c r="AN2" s="7" t="inlineStr">
        <is>
          <t>F101</t>
        </is>
      </c>
      <c r="AO2" s="7" t="inlineStr">
        <is>
          <t>Establishment 1 LLC</t>
        </is>
      </c>
      <c r="AP2" s="7" t="n">
        <v>1</v>
      </c>
      <c r="AQ2" s="7" t="inlineStr">
        <is>
          <t>CN-1000101</t>
        </is>
      </c>
      <c r="AR2" s="7" t="inlineStr">
        <is>
          <t>Active</t>
        </is>
      </c>
      <c r="AS2" s="7" t="inlineStr">
        <is>
          <t>نشطة</t>
        </is>
      </c>
      <c r="AT2" s="7" t="inlineStr">
        <is>
          <t>Ahmed Enumerator</t>
        </is>
      </c>
      <c r="AU2" s="7" t="inlineStr">
        <is>
          <t>Fatima Auditor</t>
        </is>
      </c>
      <c r="AV2" s="7" t="inlineStr">
        <is>
          <t>4610</t>
        </is>
      </c>
      <c r="AW2" s="7" t="inlineStr">
        <is>
          <t>Wholesale trade</t>
        </is>
      </c>
      <c r="AX2" s="7" t="inlineStr">
        <is>
          <t>تجارة الجملة</t>
        </is>
      </c>
      <c r="AY2" s="7" t="n">
        <v>266000</v>
      </c>
      <c r="AZ2" s="7" t="n">
        <v>93100</v>
      </c>
      <c r="BA2" s="7" t="n">
        <v>105840</v>
      </c>
      <c r="BB2" s="7" t="n">
        <v>133000</v>
      </c>
      <c r="BC2" s="7" t="n">
        <v>151200</v>
      </c>
      <c r="BD2" s="7" t="n">
        <v>456000</v>
      </c>
      <c r="BE2" s="7" t="n">
        <v>273600</v>
      </c>
      <c r="BF2" s="7" t="n">
        <v>311040</v>
      </c>
      <c r="BG2" s="7" t="n">
        <v>136800</v>
      </c>
      <c r="BH2" s="7" t="n">
        <v>155520</v>
      </c>
      <c r="BI2" s="7" t="n">
        <v>133000</v>
      </c>
      <c r="BJ2" s="7" t="n">
        <v>66500</v>
      </c>
      <c r="BK2" s="7" t="n">
        <v>75600</v>
      </c>
      <c r="BL2" s="7" t="n">
        <v>39900</v>
      </c>
      <c r="BM2" s="7" t="n">
        <v>45360</v>
      </c>
      <c r="BN2" s="7" t="n">
        <v>180500</v>
      </c>
      <c r="BO2" s="7" t="n">
        <v>99275</v>
      </c>
      <c r="BP2" s="7" t="n">
        <v>112860</v>
      </c>
      <c r="BQ2" s="7" t="n">
        <v>45125</v>
      </c>
      <c r="BR2" s="7" t="n">
        <v>51300</v>
      </c>
      <c r="BS2" s="7" t="n">
        <v>408500</v>
      </c>
      <c r="BT2" s="7" t="n">
        <v>245100</v>
      </c>
      <c r="BU2" s="7" t="n">
        <v>163400</v>
      </c>
      <c r="BV2" s="7" t="inlineStr">
        <is>
          <t>Fatima Auditor</t>
        </is>
      </c>
      <c r="BW2" s="7" t="inlineStr">
        <is>
          <t>auditor1</t>
        </is>
      </c>
      <c r="BX2" s="7" t="inlineStr">
        <is>
          <t>sup1</t>
        </is>
      </c>
      <c r="BY2" s="7" t="inlineStr">
        <is>
          <t>enum1</t>
        </is>
      </c>
      <c r="BZ2" s="7" t="inlineStr">
        <is>
          <t>sup1</t>
        </is>
      </c>
      <c r="CA2" s="7" t="n">
        <v>1</v>
      </c>
      <c r="CB2" s="7" t="inlineStr">
        <is>
          <t>Active</t>
        </is>
      </c>
      <c r="CC2" s="7" t="inlineStr">
        <is>
          <t>نشطة</t>
        </is>
      </c>
      <c r="CD2" s="7" t="inlineStr">
        <is>
          <t>Ahmed Enumerator</t>
        </is>
      </c>
      <c r="CE2" s="7" t="inlineStr">
        <is>
          <t>Fatima Auditor</t>
        </is>
      </c>
      <c r="CF2" s="7" t="inlineStr">
        <is>
          <t>4610</t>
        </is>
      </c>
      <c r="CG2" s="7" t="inlineStr">
        <is>
          <t>Wholesale trade</t>
        </is>
      </c>
      <c r="CH2" s="7" t="inlineStr">
        <is>
          <t>تجارة الجملة</t>
        </is>
      </c>
      <c r="CI2" s="7" t="n">
        <v>302400</v>
      </c>
      <c r="CJ2" s="7" t="n">
        <v>518400</v>
      </c>
      <c r="CK2" s="7" t="n">
        <v>151200</v>
      </c>
      <c r="CL2" s="7" t="n">
        <v>205200</v>
      </c>
      <c r="CM2" s="7" t="n">
        <v>464400</v>
      </c>
      <c r="CN2" s="7" t="n">
        <v>278640</v>
      </c>
      <c r="CO2" s="7" t="n">
        <v>185760</v>
      </c>
      <c r="CP2" s="7" t="inlineStr">
        <is>
          <t>auditor1</t>
        </is>
      </c>
      <c r="CQ2" s="7" t="inlineStr">
        <is>
          <t>sup1</t>
        </is>
      </c>
      <c r="CR2" s="7" t="inlineStr">
        <is>
          <t>enum1</t>
        </is>
      </c>
      <c r="CS2" s="7" t="inlineStr">
        <is>
          <t>sup1</t>
        </is>
      </c>
      <c r="CT2" s="7" t="n">
        <v>1</v>
      </c>
      <c r="CU2" s="7" t="inlineStr">
        <is>
          <t>Active</t>
        </is>
      </c>
      <c r="CV2" s="7" t="inlineStr">
        <is>
          <t>نشطة</t>
        </is>
      </c>
      <c r="CW2" s="7" t="inlineStr">
        <is>
          <t>Ahmed Enumerator</t>
        </is>
      </c>
      <c r="CX2" s="7" t="inlineStr">
        <is>
          <t>Fatima Auditor</t>
        </is>
      </c>
      <c r="CY2" s="7" t="inlineStr">
        <is>
          <t>4610</t>
        </is>
      </c>
      <c r="CZ2" s="7" t="inlineStr">
        <is>
          <t>Wholesale trade</t>
        </is>
      </c>
      <c r="DA2" s="7" t="inlineStr">
        <is>
          <t>تجارة الجملة</t>
        </is>
      </c>
      <c r="DB2" s="7" t="n">
        <v>280000</v>
      </c>
      <c r="DC2" s="7" t="n">
        <v>480000</v>
      </c>
      <c r="DD2" s="7" t="n">
        <v>140000</v>
      </c>
      <c r="DE2" s="7" t="n">
        <v>190000</v>
      </c>
      <c r="DF2" s="7" t="n">
        <v>430000</v>
      </c>
      <c r="DG2" s="7" t="n">
        <v>258000</v>
      </c>
      <c r="DH2" s="7" t="n">
        <v>172000</v>
      </c>
      <c r="DI2" s="7" t="inlineStr">
        <is>
          <t>auditor1</t>
        </is>
      </c>
      <c r="DJ2" s="7" t="inlineStr">
        <is>
          <t>sup1</t>
        </is>
      </c>
      <c r="DK2" s="7" t="inlineStr">
        <is>
          <t>enum1</t>
        </is>
      </c>
      <c r="DL2" s="7" t="inlineStr">
        <is>
          <t>sup1</t>
        </is>
      </c>
    </row>
    <row r="3">
      <c r="A3" s="7" t="inlineStr">
        <is>
          <t>F102</t>
        </is>
      </c>
      <c r="B3" s="7" t="inlineStr">
        <is>
          <t>Establishment 2 LLC</t>
        </is>
      </c>
      <c r="C3" s="7" t="n">
        <v>2</v>
      </c>
      <c r="D3" s="7" t="inlineStr">
        <is>
          <t>CN-1000102</t>
        </is>
      </c>
      <c r="E3" s="7" t="inlineStr">
        <is>
          <t>Active</t>
        </is>
      </c>
      <c r="F3" s="7" t="inlineStr">
        <is>
          <t>نشطة</t>
        </is>
      </c>
      <c r="G3" s="7" t="inlineStr">
        <is>
          <t>Layla Enumerator</t>
        </is>
      </c>
      <c r="H3" s="7" t="inlineStr">
        <is>
          <t>Mohammed Auditor</t>
        </is>
      </c>
      <c r="I3" s="7" t="inlineStr">
        <is>
          <t>2599</t>
        </is>
      </c>
      <c r="J3" s="7" t="inlineStr">
        <is>
          <t>Fabricated metal products</t>
        </is>
      </c>
      <c r="K3" s="7" t="inlineStr">
        <is>
          <t>منتجات معدنية مشكلة</t>
        </is>
      </c>
      <c r="L3" s="7" t="n">
        <v>323008</v>
      </c>
      <c r="M3" s="7" t="n">
        <v>113053</v>
      </c>
      <c r="N3" s="7" t="n">
        <v>95893</v>
      </c>
      <c r="O3" s="7" t="n">
        <v>161504</v>
      </c>
      <c r="P3" s="7" t="n">
        <v>136990</v>
      </c>
      <c r="Q3" s="7" t="n">
        <v>553728</v>
      </c>
      <c r="R3" s="7" t="n">
        <v>332237</v>
      </c>
      <c r="S3" s="7" t="n">
        <v>281808</v>
      </c>
      <c r="T3" s="7" t="n">
        <v>166118</v>
      </c>
      <c r="U3" s="7" t="n">
        <v>140904</v>
      </c>
      <c r="V3" s="7" t="n">
        <v>161504</v>
      </c>
      <c r="W3" s="7" t="n">
        <v>80752</v>
      </c>
      <c r="X3" s="7" t="n">
        <v>68495</v>
      </c>
      <c r="Y3" s="7" t="n">
        <v>48451</v>
      </c>
      <c r="Z3" s="7" t="n">
        <v>41097</v>
      </c>
      <c r="AA3" s="7" t="n">
        <v>219184</v>
      </c>
      <c r="AB3" s="7" t="n">
        <v>120551</v>
      </c>
      <c r="AC3" s="7" t="n">
        <v>102253</v>
      </c>
      <c r="AD3" s="7" t="n">
        <v>54796</v>
      </c>
      <c r="AE3" s="7" t="n">
        <v>46479</v>
      </c>
      <c r="AF3" s="7" t="n">
        <v>496048</v>
      </c>
      <c r="AG3" s="7" t="n">
        <v>297629</v>
      </c>
      <c r="AH3" s="7" t="n">
        <v>198419</v>
      </c>
      <c r="AI3" s="7" t="inlineStr">
        <is>
          <t>Mohammed Auditor</t>
        </is>
      </c>
      <c r="AJ3" s="7" t="inlineStr">
        <is>
          <t>auditor1</t>
        </is>
      </c>
      <c r="AK3" s="7" t="inlineStr">
        <is>
          <t>sup1</t>
        </is>
      </c>
      <c r="AL3" s="7" t="inlineStr">
        <is>
          <t>enum1</t>
        </is>
      </c>
      <c r="AM3" s="7" t="inlineStr">
        <is>
          <t>sup1</t>
        </is>
      </c>
      <c r="AN3" s="7" t="inlineStr">
        <is>
          <t>F102</t>
        </is>
      </c>
      <c r="AO3" s="7" t="inlineStr">
        <is>
          <t>Establishment 2 LLC</t>
        </is>
      </c>
      <c r="AP3" s="7" t="n">
        <v>2</v>
      </c>
      <c r="AQ3" s="7" t="inlineStr">
        <is>
          <t>CN-1000102</t>
        </is>
      </c>
      <c r="AR3" s="7" t="inlineStr">
        <is>
          <t>Active</t>
        </is>
      </c>
      <c r="AS3" s="7" t="inlineStr">
        <is>
          <t>نشطة</t>
        </is>
      </c>
      <c r="AT3" s="7" t="inlineStr">
        <is>
          <t>Layla Enumerator</t>
        </is>
      </c>
      <c r="AU3" s="7" t="inlineStr">
        <is>
          <t>Mohammed Auditor</t>
        </is>
      </c>
      <c r="AV3" s="7" t="inlineStr">
        <is>
          <t>2599</t>
        </is>
      </c>
      <c r="AW3" s="7" t="inlineStr">
        <is>
          <t>Fabricated metal products</t>
        </is>
      </c>
      <c r="AX3" s="7" t="inlineStr">
        <is>
          <t>منتجات معدنية مشكلة</t>
        </is>
      </c>
      <c r="AY3" s="7" t="n">
        <v>273980</v>
      </c>
      <c r="AZ3" s="7" t="n">
        <v>95893</v>
      </c>
      <c r="BA3" s="7" t="n">
        <v>109015</v>
      </c>
      <c r="BB3" s="7" t="n">
        <v>136990</v>
      </c>
      <c r="BC3" s="7" t="n">
        <v>155736</v>
      </c>
      <c r="BD3" s="7" t="n">
        <v>469680</v>
      </c>
      <c r="BE3" s="7" t="n">
        <v>281808</v>
      </c>
      <c r="BF3" s="7" t="n">
        <v>320371</v>
      </c>
      <c r="BG3" s="7" t="n">
        <v>140904</v>
      </c>
      <c r="BH3" s="7" t="n">
        <v>160186</v>
      </c>
      <c r="BI3" s="7" t="n">
        <v>136990</v>
      </c>
      <c r="BJ3" s="7" t="n">
        <v>68495</v>
      </c>
      <c r="BK3" s="7" t="n">
        <v>77868</v>
      </c>
      <c r="BL3" s="7" t="n">
        <v>41097</v>
      </c>
      <c r="BM3" s="7" t="n">
        <v>46721</v>
      </c>
      <c r="BN3" s="7" t="n">
        <v>185915</v>
      </c>
      <c r="BO3" s="7" t="n">
        <v>102253</v>
      </c>
      <c r="BP3" s="7" t="n">
        <v>116246</v>
      </c>
      <c r="BQ3" s="7" t="n">
        <v>46479</v>
      </c>
      <c r="BR3" s="7" t="n">
        <v>52839</v>
      </c>
      <c r="BS3" s="7" t="n">
        <v>420755</v>
      </c>
      <c r="BT3" s="7" t="n">
        <v>252453</v>
      </c>
      <c r="BU3" s="7" t="n">
        <v>168302</v>
      </c>
      <c r="BV3" s="7" t="inlineStr">
        <is>
          <t>Mohammed Auditor</t>
        </is>
      </c>
      <c r="BW3" s="7" t="inlineStr">
        <is>
          <t>auditor1</t>
        </is>
      </c>
      <c r="BX3" s="7" t="inlineStr">
        <is>
          <t>sup1</t>
        </is>
      </c>
      <c r="BY3" s="7" t="inlineStr">
        <is>
          <t>enum1</t>
        </is>
      </c>
      <c r="BZ3" s="7" t="inlineStr">
        <is>
          <t>sup1</t>
        </is>
      </c>
      <c r="CA3" s="7" t="n">
        <v>2</v>
      </c>
      <c r="CB3" s="7" t="inlineStr">
        <is>
          <t>Active</t>
        </is>
      </c>
      <c r="CC3" s="7" t="inlineStr">
        <is>
          <t>نشطة</t>
        </is>
      </c>
      <c r="CD3" s="7" t="inlineStr">
        <is>
          <t>Layla Enumerator</t>
        </is>
      </c>
      <c r="CE3" s="7" t="inlineStr">
        <is>
          <t>Mohammed Auditor</t>
        </is>
      </c>
      <c r="CF3" s="7" t="inlineStr">
        <is>
          <t>2599</t>
        </is>
      </c>
      <c r="CG3" s="7" t="inlineStr">
        <is>
          <t>Fabricated metal products</t>
        </is>
      </c>
      <c r="CH3" s="7" t="inlineStr">
        <is>
          <t>منتجات معدنية مشكلة</t>
        </is>
      </c>
      <c r="CI3" s="7" t="n">
        <v>311472</v>
      </c>
      <c r="CJ3" s="7" t="n">
        <v>533952</v>
      </c>
      <c r="CK3" s="7" t="n">
        <v>155736</v>
      </c>
      <c r="CL3" s="7" t="n">
        <v>211356</v>
      </c>
      <c r="CM3" s="7" t="n">
        <v>478332</v>
      </c>
      <c r="CN3" s="7" t="n">
        <v>286999</v>
      </c>
      <c r="CO3" s="7" t="n">
        <v>191333</v>
      </c>
      <c r="CP3" s="7" t="inlineStr">
        <is>
          <t>auditor1</t>
        </is>
      </c>
      <c r="CQ3" s="7" t="inlineStr">
        <is>
          <t>sup1</t>
        </is>
      </c>
      <c r="CR3" s="7" t="inlineStr">
        <is>
          <t>enum1</t>
        </is>
      </c>
      <c r="CS3" s="7" t="inlineStr">
        <is>
          <t>sup1</t>
        </is>
      </c>
      <c r="CT3" s="7" t="n">
        <v>2</v>
      </c>
      <c r="CU3" s="7" t="inlineStr">
        <is>
          <t>Active</t>
        </is>
      </c>
      <c r="CV3" s="7" t="inlineStr">
        <is>
          <t>نشطة</t>
        </is>
      </c>
      <c r="CW3" s="7" t="inlineStr">
        <is>
          <t>Layla Enumerator</t>
        </is>
      </c>
      <c r="CX3" s="7" t="inlineStr">
        <is>
          <t>Mohammed Auditor</t>
        </is>
      </c>
      <c r="CY3" s="7" t="inlineStr">
        <is>
          <t>2599</t>
        </is>
      </c>
      <c r="CZ3" s="7" t="inlineStr">
        <is>
          <t>Fabricated metal products</t>
        </is>
      </c>
      <c r="DA3" s="7" t="inlineStr">
        <is>
          <t>منتجات معدنية مشكلة</t>
        </is>
      </c>
      <c r="DB3" s="7" t="n">
        <v>288400</v>
      </c>
      <c r="DC3" s="7" t="n">
        <v>494400</v>
      </c>
      <c r="DD3" s="7" t="n">
        <v>144200</v>
      </c>
      <c r="DE3" s="7" t="n">
        <v>195700</v>
      </c>
      <c r="DF3" s="7" t="n">
        <v>442900</v>
      </c>
      <c r="DG3" s="7" t="n">
        <v>265740</v>
      </c>
      <c r="DH3" s="7" t="n">
        <v>177160</v>
      </c>
      <c r="DI3" s="7" t="inlineStr">
        <is>
          <t>auditor1</t>
        </is>
      </c>
      <c r="DJ3" s="7" t="inlineStr">
        <is>
          <t>sup1</t>
        </is>
      </c>
      <c r="DK3" s="7" t="inlineStr">
        <is>
          <t>enum1</t>
        </is>
      </c>
      <c r="DL3" s="7" t="inlineStr">
        <is>
          <t>sup1</t>
        </is>
      </c>
    </row>
    <row r="4">
      <c r="A4" s="7" t="inlineStr">
        <is>
          <t>F103</t>
        </is>
      </c>
      <c r="B4" s="7" t="inlineStr">
        <is>
          <t>Establishment 3 LLC</t>
        </is>
      </c>
      <c r="C4" s="7" t="n">
        <v>3</v>
      </c>
      <c r="D4" s="7" t="inlineStr">
        <is>
          <t>CN-1000103</t>
        </is>
      </c>
      <c r="E4" s="7" t="inlineStr">
        <is>
          <t>Active</t>
        </is>
      </c>
      <c r="F4" s="7" t="inlineStr">
        <is>
          <t>نشطة</t>
        </is>
      </c>
      <c r="G4" s="7" t="inlineStr">
        <is>
          <t>Ahmed Enumerator</t>
        </is>
      </c>
      <c r="H4" s="7" t="inlineStr">
        <is>
          <t>Fatima Auditor</t>
        </is>
      </c>
      <c r="I4" s="7" t="inlineStr">
        <is>
          <t>4290</t>
        </is>
      </c>
      <c r="J4" s="7" t="inlineStr">
        <is>
          <t>Construction of other civil works</t>
        </is>
      </c>
      <c r="K4" s="7" t="inlineStr">
        <is>
          <t>إنشاءات مدنية أخرى</t>
        </is>
      </c>
      <c r="L4" s="7" t="n">
        <v>332416</v>
      </c>
      <c r="M4" s="7" t="n">
        <v>116346</v>
      </c>
      <c r="N4" s="7" t="n">
        <v>98686</v>
      </c>
      <c r="O4" s="7" t="n">
        <v>166208</v>
      </c>
      <c r="P4" s="7" t="n">
        <v>140980</v>
      </c>
      <c r="Q4" s="7" t="n">
        <v>569856</v>
      </c>
      <c r="R4" s="7" t="n">
        <v>341914</v>
      </c>
      <c r="S4" s="7" t="n">
        <v>290016</v>
      </c>
      <c r="T4" s="7" t="n">
        <v>170957</v>
      </c>
      <c r="U4" s="7" t="n">
        <v>145008</v>
      </c>
      <c r="V4" s="7" t="n">
        <v>166208</v>
      </c>
      <c r="W4" s="7" t="n">
        <v>83104</v>
      </c>
      <c r="X4" s="7" t="n">
        <v>70490</v>
      </c>
      <c r="Y4" s="7" t="n">
        <v>49862</v>
      </c>
      <c r="Z4" s="7" t="n">
        <v>42294</v>
      </c>
      <c r="AA4" s="7" t="n">
        <v>225568</v>
      </c>
      <c r="AB4" s="7" t="n">
        <v>124062</v>
      </c>
      <c r="AC4" s="7" t="n">
        <v>105232</v>
      </c>
      <c r="AD4" s="7" t="n">
        <v>56392</v>
      </c>
      <c r="AE4" s="7" t="n">
        <v>47832</v>
      </c>
      <c r="AF4" s="7" t="n">
        <v>510496</v>
      </c>
      <c r="AG4" s="7" t="n">
        <v>306298</v>
      </c>
      <c r="AH4" s="7" t="n">
        <v>204198</v>
      </c>
      <c r="AI4" s="7" t="inlineStr">
        <is>
          <t>Fatima Auditor</t>
        </is>
      </c>
      <c r="AJ4" s="7" t="inlineStr">
        <is>
          <t>auditor1</t>
        </is>
      </c>
      <c r="AK4" s="7" t="inlineStr">
        <is>
          <t>sup1</t>
        </is>
      </c>
      <c r="AL4" s="7" t="inlineStr">
        <is>
          <t>enum1</t>
        </is>
      </c>
      <c r="AM4" s="7" t="inlineStr">
        <is>
          <t>sup1</t>
        </is>
      </c>
      <c r="AN4" s="7" t="inlineStr">
        <is>
          <t>F103</t>
        </is>
      </c>
      <c r="AO4" s="7" t="inlineStr">
        <is>
          <t>Establishment 3 LLC</t>
        </is>
      </c>
      <c r="AP4" s="7" t="n">
        <v>3</v>
      </c>
      <c r="AQ4" s="7" t="inlineStr">
        <is>
          <t>CN-1000103</t>
        </is>
      </c>
      <c r="AR4" s="7" t="inlineStr">
        <is>
          <t>Active</t>
        </is>
      </c>
      <c r="AS4" s="7" t="inlineStr">
        <is>
          <t>نشطة</t>
        </is>
      </c>
      <c r="AT4" s="7" t="inlineStr">
        <is>
          <t>Ahmed Enumerator</t>
        </is>
      </c>
      <c r="AU4" s="7" t="inlineStr">
        <is>
          <t>Fatima Auditor</t>
        </is>
      </c>
      <c r="AV4" s="7" t="inlineStr">
        <is>
          <t>4290</t>
        </is>
      </c>
      <c r="AW4" s="7" t="inlineStr">
        <is>
          <t>Construction of other civil works</t>
        </is>
      </c>
      <c r="AX4" s="7" t="inlineStr">
        <is>
          <t>إنشاءات مدنية أخرى</t>
        </is>
      </c>
      <c r="AY4" s="7" t="n">
        <v>281960</v>
      </c>
      <c r="AZ4" s="7" t="n">
        <v>98686</v>
      </c>
      <c r="BA4" s="7" t="n">
        <v>112190</v>
      </c>
      <c r="BB4" s="7" t="n">
        <v>140980</v>
      </c>
      <c r="BC4" s="7" t="n">
        <v>160272</v>
      </c>
      <c r="BD4" s="7" t="n">
        <v>483360</v>
      </c>
      <c r="BE4" s="7" t="n">
        <v>290016</v>
      </c>
      <c r="BF4" s="7" t="n">
        <v>329702</v>
      </c>
      <c r="BG4" s="7" t="n">
        <v>145008</v>
      </c>
      <c r="BH4" s="7" t="n">
        <v>164851</v>
      </c>
      <c r="BI4" s="7" t="n">
        <v>140980</v>
      </c>
      <c r="BJ4" s="7" t="n">
        <v>70490</v>
      </c>
      <c r="BK4" s="7" t="n">
        <v>80136</v>
      </c>
      <c r="BL4" s="7" t="n">
        <v>42294</v>
      </c>
      <c r="BM4" s="7" t="n">
        <v>48082</v>
      </c>
      <c r="BN4" s="7" t="n">
        <v>191330</v>
      </c>
      <c r="BO4" s="7" t="n">
        <v>105232</v>
      </c>
      <c r="BP4" s="7" t="n">
        <v>119632</v>
      </c>
      <c r="BQ4" s="7" t="n">
        <v>47832</v>
      </c>
      <c r="BR4" s="7" t="n">
        <v>54378</v>
      </c>
      <c r="BS4" s="7" t="n">
        <v>433010</v>
      </c>
      <c r="BT4" s="7" t="n">
        <v>259806</v>
      </c>
      <c r="BU4" s="7" t="n">
        <v>173204</v>
      </c>
      <c r="BV4" s="7" t="inlineStr">
        <is>
          <t>Fatima Auditor</t>
        </is>
      </c>
      <c r="BW4" s="7" t="inlineStr">
        <is>
          <t>auditor1</t>
        </is>
      </c>
      <c r="BX4" s="7" t="inlineStr">
        <is>
          <t>sup1</t>
        </is>
      </c>
      <c r="BY4" s="7" t="inlineStr">
        <is>
          <t>enum1</t>
        </is>
      </c>
      <c r="BZ4" s="7" t="inlineStr">
        <is>
          <t>sup1</t>
        </is>
      </c>
      <c r="CA4" s="7" t="n">
        <v>3</v>
      </c>
      <c r="CB4" s="7" t="inlineStr">
        <is>
          <t>Active</t>
        </is>
      </c>
      <c r="CC4" s="7" t="inlineStr">
        <is>
          <t>نشطة</t>
        </is>
      </c>
      <c r="CD4" s="7" t="inlineStr">
        <is>
          <t>Ahmed Enumerator</t>
        </is>
      </c>
      <c r="CE4" s="7" t="inlineStr">
        <is>
          <t>Fatima Auditor</t>
        </is>
      </c>
      <c r="CF4" s="7" t="inlineStr">
        <is>
          <t>4290</t>
        </is>
      </c>
      <c r="CG4" s="7" t="inlineStr">
        <is>
          <t>Construction of other civil works</t>
        </is>
      </c>
      <c r="CH4" s="7" t="inlineStr">
        <is>
          <t>إنشاءات مدنية أخرى</t>
        </is>
      </c>
      <c r="CI4" s="7" t="n">
        <v>320544</v>
      </c>
      <c r="CJ4" s="7" t="n">
        <v>549504</v>
      </c>
      <c r="CK4" s="7" t="n">
        <v>160272</v>
      </c>
      <c r="CL4" s="7" t="n">
        <v>217512</v>
      </c>
      <c r="CM4" s="7" t="n">
        <v>492264</v>
      </c>
      <c r="CN4" s="7" t="n">
        <v>295358</v>
      </c>
      <c r="CO4" s="7" t="n">
        <v>196906</v>
      </c>
      <c r="CP4" s="7" t="inlineStr">
        <is>
          <t>auditor1</t>
        </is>
      </c>
      <c r="CQ4" s="7" t="inlineStr">
        <is>
          <t>sup1</t>
        </is>
      </c>
      <c r="CR4" s="7" t="inlineStr">
        <is>
          <t>enum1</t>
        </is>
      </c>
      <c r="CS4" s="7" t="inlineStr">
        <is>
          <t>sup1</t>
        </is>
      </c>
      <c r="CT4" s="7" t="n">
        <v>3</v>
      </c>
      <c r="CU4" s="7" t="inlineStr">
        <is>
          <t>Active</t>
        </is>
      </c>
      <c r="CV4" s="7" t="inlineStr">
        <is>
          <t>نشطة</t>
        </is>
      </c>
      <c r="CW4" s="7" t="inlineStr">
        <is>
          <t>Ahmed Enumerator</t>
        </is>
      </c>
      <c r="CX4" s="7" t="inlineStr">
        <is>
          <t>Fatima Auditor</t>
        </is>
      </c>
      <c r="CY4" s="7" t="inlineStr">
        <is>
          <t>4290</t>
        </is>
      </c>
      <c r="CZ4" s="7" t="inlineStr">
        <is>
          <t>Construction of other civil works</t>
        </is>
      </c>
      <c r="DA4" s="7" t="inlineStr">
        <is>
          <t>إنشاءات مدنية أخرى</t>
        </is>
      </c>
      <c r="DB4" s="7" t="n">
        <v>296800</v>
      </c>
      <c r="DC4" s="7" t="n">
        <v>508800</v>
      </c>
      <c r="DD4" s="7" t="n">
        <v>148400</v>
      </c>
      <c r="DE4" s="7" t="n">
        <v>201400</v>
      </c>
      <c r="DF4" s="7" t="n">
        <v>455800</v>
      </c>
      <c r="DG4" s="7" t="n">
        <v>273480</v>
      </c>
      <c r="DH4" s="7" t="n">
        <v>182320</v>
      </c>
      <c r="DI4" s="7" t="inlineStr">
        <is>
          <t>auditor1</t>
        </is>
      </c>
      <c r="DJ4" s="7" t="inlineStr">
        <is>
          <t>sup1</t>
        </is>
      </c>
      <c r="DK4" s="7" t="inlineStr">
        <is>
          <t>enum1</t>
        </is>
      </c>
      <c r="DL4" s="7" t="inlineStr">
        <is>
          <t>sup1</t>
        </is>
      </c>
    </row>
    <row r="5">
      <c r="A5" s="7" t="inlineStr">
        <is>
          <t>F104</t>
        </is>
      </c>
      <c r="B5" s="7" t="inlineStr">
        <is>
          <t>Establishment 4 LLC</t>
        </is>
      </c>
      <c r="C5" s="7" t="n">
        <v>4</v>
      </c>
      <c r="D5" s="7" t="inlineStr">
        <is>
          <t>CN-1000104</t>
        </is>
      </c>
      <c r="E5" s="7" t="inlineStr">
        <is>
          <t>Active</t>
        </is>
      </c>
      <c r="F5" s="7" t="inlineStr">
        <is>
          <t>نشطة</t>
        </is>
      </c>
      <c r="G5" s="7" t="inlineStr">
        <is>
          <t>Layla Enumerator</t>
        </is>
      </c>
      <c r="H5" s="7" t="inlineStr">
        <is>
          <t>Mohammed Auditor</t>
        </is>
      </c>
      <c r="I5" s="7" t="inlineStr">
        <is>
          <t>4923</t>
        </is>
      </c>
      <c r="J5" s="7" t="inlineStr">
        <is>
          <t>Freight transport by road</t>
        </is>
      </c>
      <c r="K5" s="7" t="inlineStr">
        <is>
          <t>نقل البضائع بالطرق البرية</t>
        </is>
      </c>
      <c r="L5" s="7" t="n">
        <v>341824</v>
      </c>
      <c r="M5" s="7" t="n">
        <v>119638</v>
      </c>
      <c r="N5" s="7" t="n">
        <v>101479</v>
      </c>
      <c r="O5" s="7" t="n">
        <v>170912</v>
      </c>
      <c r="P5" s="7" t="n">
        <v>144970</v>
      </c>
      <c r="Q5" s="7" t="n">
        <v>585984</v>
      </c>
      <c r="R5" s="7" t="n">
        <v>351590</v>
      </c>
      <c r="S5" s="7" t="n">
        <v>298224</v>
      </c>
      <c r="T5" s="7" t="n">
        <v>175795</v>
      </c>
      <c r="U5" s="7" t="n">
        <v>149112</v>
      </c>
      <c r="V5" s="7" t="n">
        <v>170912</v>
      </c>
      <c r="W5" s="7" t="n">
        <v>85456</v>
      </c>
      <c r="X5" s="7" t="n">
        <v>72485</v>
      </c>
      <c r="Y5" s="7" t="n">
        <v>51274</v>
      </c>
      <c r="Z5" s="7" t="n">
        <v>43491</v>
      </c>
      <c r="AA5" s="7" t="n">
        <v>231952</v>
      </c>
      <c r="AB5" s="7" t="n">
        <v>127574</v>
      </c>
      <c r="AC5" s="7" t="n">
        <v>108210</v>
      </c>
      <c r="AD5" s="7" t="n">
        <v>57988</v>
      </c>
      <c r="AE5" s="7" t="n">
        <v>49186</v>
      </c>
      <c r="AF5" s="7" t="n">
        <v>509944</v>
      </c>
      <c r="AG5" s="7" t="n">
        <v>305966</v>
      </c>
      <c r="AH5" s="7" t="n">
        <v>203978</v>
      </c>
      <c r="AI5" s="7" t="inlineStr">
        <is>
          <t>Mohammed Auditor</t>
        </is>
      </c>
      <c r="AJ5" s="7" t="inlineStr">
        <is>
          <t>auditor1</t>
        </is>
      </c>
      <c r="AK5" s="7" t="inlineStr">
        <is>
          <t>sup1</t>
        </is>
      </c>
      <c r="AL5" s="7" t="inlineStr">
        <is>
          <t>enum1</t>
        </is>
      </c>
      <c r="AM5" s="7" t="inlineStr">
        <is>
          <t>sup1</t>
        </is>
      </c>
      <c r="AN5" s="7" t="inlineStr">
        <is>
          <t>F104</t>
        </is>
      </c>
      <c r="AO5" s="7" t="inlineStr">
        <is>
          <t>Establishment 4 LLC</t>
        </is>
      </c>
      <c r="AP5" s="7" t="n">
        <v>4</v>
      </c>
      <c r="AQ5" s="7" t="inlineStr">
        <is>
          <t>CN-1000104</t>
        </is>
      </c>
      <c r="AR5" s="7" t="inlineStr">
        <is>
          <t>Active</t>
        </is>
      </c>
      <c r="AS5" s="7" t="inlineStr">
        <is>
          <t>نشطة</t>
        </is>
      </c>
      <c r="AT5" s="7" t="inlineStr">
        <is>
          <t>Layla Enumerator</t>
        </is>
      </c>
      <c r="AU5" s="7" t="inlineStr">
        <is>
          <t>Mohammed Auditor</t>
        </is>
      </c>
      <c r="AV5" s="7" t="inlineStr">
        <is>
          <t>4923</t>
        </is>
      </c>
      <c r="AW5" s="7" t="inlineStr">
        <is>
          <t>Freight transport by road</t>
        </is>
      </c>
      <c r="AX5" s="7" t="inlineStr">
        <is>
          <t>نقل البضائع بالطرق البرية</t>
        </is>
      </c>
      <c r="AY5" s="7" t="n">
        <v>289940</v>
      </c>
      <c r="AZ5" s="7" t="n">
        <v>101479</v>
      </c>
      <c r="BA5" s="7" t="n">
        <v>115366</v>
      </c>
      <c r="BB5" s="7" t="n">
        <v>144970</v>
      </c>
      <c r="BC5" s="7" t="n">
        <v>164808</v>
      </c>
      <c r="BD5" s="7" t="n">
        <v>497040</v>
      </c>
      <c r="BE5" s="7" t="n">
        <v>298224</v>
      </c>
      <c r="BF5" s="7" t="n">
        <v>339034</v>
      </c>
      <c r="BG5" s="7" t="n">
        <v>149112</v>
      </c>
      <c r="BH5" s="7" t="n">
        <v>169517</v>
      </c>
      <c r="BI5" s="7" t="n">
        <v>144970</v>
      </c>
      <c r="BJ5" s="7" t="n">
        <v>72485</v>
      </c>
      <c r="BK5" s="7" t="n">
        <v>82404</v>
      </c>
      <c r="BL5" s="7" t="n">
        <v>43491</v>
      </c>
      <c r="BM5" s="7" t="n">
        <v>49442</v>
      </c>
      <c r="BN5" s="7" t="n">
        <v>196745</v>
      </c>
      <c r="BO5" s="7" t="n">
        <v>108210</v>
      </c>
      <c r="BP5" s="7" t="n">
        <v>123017</v>
      </c>
      <c r="BQ5" s="7" t="n">
        <v>49186</v>
      </c>
      <c r="BR5" s="7" t="n">
        <v>55917</v>
      </c>
      <c r="BS5" s="7" t="n">
        <v>430265</v>
      </c>
      <c r="BT5" s="7" t="n">
        <v>258159</v>
      </c>
      <c r="BU5" s="7" t="n">
        <v>172106</v>
      </c>
      <c r="BV5" s="7" t="inlineStr">
        <is>
          <t>Mohammed Auditor</t>
        </is>
      </c>
      <c r="BW5" s="7" t="inlineStr">
        <is>
          <t>auditor1</t>
        </is>
      </c>
      <c r="BX5" s="7" t="inlineStr">
        <is>
          <t>sup1</t>
        </is>
      </c>
      <c r="BY5" s="7" t="inlineStr">
        <is>
          <t>enum1</t>
        </is>
      </c>
      <c r="BZ5" s="7" t="inlineStr">
        <is>
          <t>sup1</t>
        </is>
      </c>
      <c r="CA5" s="7" t="n">
        <v>4</v>
      </c>
      <c r="CB5" s="7" t="inlineStr">
        <is>
          <t>Active</t>
        </is>
      </c>
      <c r="CC5" s="7" t="inlineStr">
        <is>
          <t>نشطة</t>
        </is>
      </c>
      <c r="CD5" s="7" t="inlineStr">
        <is>
          <t>Layla Enumerator</t>
        </is>
      </c>
      <c r="CE5" s="7" t="inlineStr">
        <is>
          <t>Mohammed Auditor</t>
        </is>
      </c>
      <c r="CF5" s="7" t="inlineStr">
        <is>
          <t>4923</t>
        </is>
      </c>
      <c r="CG5" s="7" t="inlineStr">
        <is>
          <t>Freight transport by road</t>
        </is>
      </c>
      <c r="CH5" s="7" t="inlineStr">
        <is>
          <t>نقل البضائع بالطرق البرية</t>
        </is>
      </c>
      <c r="CI5" s="7" t="n">
        <v>329616</v>
      </c>
      <c r="CJ5" s="7" t="n">
        <v>565056</v>
      </c>
      <c r="CK5" s="7" t="n">
        <v>164808</v>
      </c>
      <c r="CL5" s="7" t="n">
        <v>223668</v>
      </c>
      <c r="CM5" s="7" t="n">
        <v>491196</v>
      </c>
      <c r="CN5" s="7" t="n">
        <v>294718</v>
      </c>
      <c r="CO5" s="7" t="n">
        <v>196478</v>
      </c>
      <c r="CP5" s="7" t="inlineStr">
        <is>
          <t>auditor1</t>
        </is>
      </c>
      <c r="CQ5" s="7" t="inlineStr">
        <is>
          <t>sup1</t>
        </is>
      </c>
      <c r="CR5" s="7" t="inlineStr">
        <is>
          <t>enum1</t>
        </is>
      </c>
      <c r="CS5" s="7" t="inlineStr">
        <is>
          <t>sup1</t>
        </is>
      </c>
      <c r="CT5" s="7" t="n">
        <v>4</v>
      </c>
      <c r="CU5" s="7" t="inlineStr">
        <is>
          <t>Active</t>
        </is>
      </c>
      <c r="CV5" s="7" t="inlineStr">
        <is>
          <t>نشطة</t>
        </is>
      </c>
      <c r="CW5" s="7" t="inlineStr">
        <is>
          <t>Layla Enumerator</t>
        </is>
      </c>
      <c r="CX5" s="7" t="inlineStr">
        <is>
          <t>Mohammed Auditor</t>
        </is>
      </c>
      <c r="CY5" s="7" t="inlineStr">
        <is>
          <t>4923</t>
        </is>
      </c>
      <c r="CZ5" s="7" t="inlineStr">
        <is>
          <t>Freight transport by road</t>
        </is>
      </c>
      <c r="DA5" s="7" t="inlineStr">
        <is>
          <t>نقل البضائع بالطرق البرية</t>
        </is>
      </c>
      <c r="DB5" s="7" t="n">
        <v>305200</v>
      </c>
      <c r="DC5" s="7" t="n">
        <v>523200</v>
      </c>
      <c r="DD5" s="7" t="n">
        <v>152600</v>
      </c>
      <c r="DE5" s="7" t="n">
        <v>207100</v>
      </c>
      <c r="DF5" s="7" t="n">
        <v>453700</v>
      </c>
      <c r="DG5" s="7" t="n">
        <v>272220</v>
      </c>
      <c r="DH5" s="7" t="n">
        <v>181480</v>
      </c>
      <c r="DI5" s="7" t="inlineStr">
        <is>
          <t>auditor1</t>
        </is>
      </c>
      <c r="DJ5" s="7" t="inlineStr">
        <is>
          <t>sup1</t>
        </is>
      </c>
      <c r="DK5" s="7" t="inlineStr">
        <is>
          <t>enum1</t>
        </is>
      </c>
      <c r="DL5" s="7" t="inlineStr">
        <is>
          <t>sup1</t>
        </is>
      </c>
    </row>
    <row r="6">
      <c r="A6" s="7" t="inlineStr">
        <is>
          <t>F105</t>
        </is>
      </c>
      <c r="B6" s="7" t="inlineStr">
        <is>
          <t>Establishment 5 LLC</t>
        </is>
      </c>
      <c r="C6" s="7" t="n">
        <v>1</v>
      </c>
      <c r="D6" s="7" t="inlineStr">
        <is>
          <t>CN-1000105</t>
        </is>
      </c>
      <c r="E6" s="7" t="inlineStr">
        <is>
          <t>Active</t>
        </is>
      </c>
      <c r="F6" s="7" t="inlineStr">
        <is>
          <t>نشطة</t>
        </is>
      </c>
      <c r="G6" s="7" t="inlineStr">
        <is>
          <t>Ahmed Enumerator</t>
        </is>
      </c>
      <c r="H6" s="7" t="inlineStr">
        <is>
          <t>Fatima Auditor</t>
        </is>
      </c>
      <c r="I6" s="7" t="inlineStr">
        <is>
          <t>4610</t>
        </is>
      </c>
      <c r="J6" s="7" t="inlineStr">
        <is>
          <t>Wholesale trade</t>
        </is>
      </c>
      <c r="K6" s="7" t="inlineStr">
        <is>
          <t>تجارة الجملة</t>
        </is>
      </c>
      <c r="L6" s="7" t="n">
        <v>351232</v>
      </c>
      <c r="M6" s="7" t="n">
        <v>122931</v>
      </c>
      <c r="N6" s="7" t="n">
        <v>104272</v>
      </c>
      <c r="O6" s="7" t="n">
        <v>175616</v>
      </c>
      <c r="P6" s="7" t="n">
        <v>148960</v>
      </c>
      <c r="Q6" s="7" t="n">
        <v>602112</v>
      </c>
      <c r="R6" s="7" t="n">
        <v>361267</v>
      </c>
      <c r="S6" s="7" t="n">
        <v>306432</v>
      </c>
      <c r="T6" s="7" t="n">
        <v>180634</v>
      </c>
      <c r="U6" s="7" t="n">
        <v>153216</v>
      </c>
      <c r="V6" s="7" t="n">
        <v>175616</v>
      </c>
      <c r="W6" s="7" t="n">
        <v>87808</v>
      </c>
      <c r="X6" s="7" t="n">
        <v>74480</v>
      </c>
      <c r="Y6" s="7" t="n">
        <v>52685</v>
      </c>
      <c r="Z6" s="7" t="n">
        <v>44688</v>
      </c>
      <c r="AA6" s="7" t="n">
        <v>238336</v>
      </c>
      <c r="AB6" s="7" t="n">
        <v>131085</v>
      </c>
      <c r="AC6" s="7" t="n">
        <v>111188</v>
      </c>
      <c r="AD6" s="7" t="n">
        <v>59584</v>
      </c>
      <c r="AE6" s="7" t="n">
        <v>50540</v>
      </c>
      <c r="AF6" s="7" t="n">
        <v>539392</v>
      </c>
      <c r="AG6" s="7" t="n">
        <v>323635</v>
      </c>
      <c r="AH6" s="7" t="n">
        <v>215757</v>
      </c>
      <c r="AI6" s="7" t="inlineStr">
        <is>
          <t>Fatima Auditor</t>
        </is>
      </c>
      <c r="AJ6" s="7" t="inlineStr">
        <is>
          <t>auditor1</t>
        </is>
      </c>
      <c r="AK6" s="7" t="inlineStr">
        <is>
          <t>sup1</t>
        </is>
      </c>
      <c r="AL6" s="7" t="inlineStr">
        <is>
          <t>enum1</t>
        </is>
      </c>
      <c r="AM6" s="7" t="inlineStr">
        <is>
          <t>sup1</t>
        </is>
      </c>
      <c r="AN6" s="7" t="inlineStr">
        <is>
          <t>F105</t>
        </is>
      </c>
      <c r="AO6" s="7" t="inlineStr">
        <is>
          <t>Establishment 5 LLC</t>
        </is>
      </c>
      <c r="AP6" s="7" t="n">
        <v>1</v>
      </c>
      <c r="AQ6" s="7" t="inlineStr">
        <is>
          <t>CN-1000105</t>
        </is>
      </c>
      <c r="AR6" s="7" t="inlineStr">
        <is>
          <t>Active</t>
        </is>
      </c>
      <c r="AS6" s="7" t="inlineStr">
        <is>
          <t>نشطة</t>
        </is>
      </c>
      <c r="AT6" s="7" t="inlineStr">
        <is>
          <t>Ahmed Enumerator</t>
        </is>
      </c>
      <c r="AU6" s="7" t="inlineStr">
        <is>
          <t>Fatima Auditor</t>
        </is>
      </c>
      <c r="AV6" s="7" t="inlineStr">
        <is>
          <t>4610</t>
        </is>
      </c>
      <c r="AW6" s="7" t="inlineStr">
        <is>
          <t>Wholesale trade</t>
        </is>
      </c>
      <c r="AX6" s="7" t="inlineStr">
        <is>
          <t>تجارة الجملة</t>
        </is>
      </c>
      <c r="AY6" s="7" t="n">
        <v>297920</v>
      </c>
      <c r="AZ6" s="7" t="n">
        <v>104272</v>
      </c>
      <c r="BA6" s="7" t="n">
        <v>118541</v>
      </c>
      <c r="BB6" s="7" t="n">
        <v>148960</v>
      </c>
      <c r="BC6" s="7" t="n">
        <v>169344</v>
      </c>
      <c r="BD6" s="7" t="n">
        <v>510720</v>
      </c>
      <c r="BE6" s="7" t="n">
        <v>306432</v>
      </c>
      <c r="BF6" s="7" t="n">
        <v>348365</v>
      </c>
      <c r="BG6" s="7" t="n">
        <v>153216</v>
      </c>
      <c r="BH6" s="7" t="n">
        <v>174182</v>
      </c>
      <c r="BI6" s="7" t="n">
        <v>148960</v>
      </c>
      <c r="BJ6" s="7" t="n">
        <v>74480</v>
      </c>
      <c r="BK6" s="7" t="n">
        <v>84672</v>
      </c>
      <c r="BL6" s="7" t="n">
        <v>44688</v>
      </c>
      <c r="BM6" s="7" t="n">
        <v>50803</v>
      </c>
      <c r="BN6" s="7" t="n">
        <v>202160</v>
      </c>
      <c r="BO6" s="7" t="n">
        <v>111188</v>
      </c>
      <c r="BP6" s="7" t="n">
        <v>126403</v>
      </c>
      <c r="BQ6" s="7" t="n">
        <v>50540</v>
      </c>
      <c r="BR6" s="7" t="n">
        <v>57456</v>
      </c>
      <c r="BS6" s="7" t="n">
        <v>457520</v>
      </c>
      <c r="BT6" s="7" t="n">
        <v>274512</v>
      </c>
      <c r="BU6" s="7" t="n">
        <v>183008</v>
      </c>
      <c r="BV6" s="7" t="inlineStr">
        <is>
          <t>Fatima Auditor</t>
        </is>
      </c>
      <c r="BW6" s="7" t="inlineStr">
        <is>
          <t>auditor1</t>
        </is>
      </c>
      <c r="BX6" s="7" t="inlineStr">
        <is>
          <t>sup1</t>
        </is>
      </c>
      <c r="BY6" s="7" t="inlineStr">
        <is>
          <t>enum1</t>
        </is>
      </c>
      <c r="BZ6" s="7" t="inlineStr">
        <is>
          <t>sup1</t>
        </is>
      </c>
      <c r="CA6" s="7" t="n">
        <v>1</v>
      </c>
      <c r="CB6" s="7" t="inlineStr">
        <is>
          <t>Active</t>
        </is>
      </c>
      <c r="CC6" s="7" t="inlineStr">
        <is>
          <t>نشطة</t>
        </is>
      </c>
      <c r="CD6" s="7" t="inlineStr">
        <is>
          <t>Ahmed Enumerator</t>
        </is>
      </c>
      <c r="CE6" s="7" t="inlineStr">
        <is>
          <t>Fatima Auditor</t>
        </is>
      </c>
      <c r="CF6" s="7" t="inlineStr">
        <is>
          <t>4610</t>
        </is>
      </c>
      <c r="CG6" s="7" t="inlineStr">
        <is>
          <t>Wholesale trade</t>
        </is>
      </c>
      <c r="CH6" s="7" t="inlineStr">
        <is>
          <t>تجارة الجملة</t>
        </is>
      </c>
      <c r="CI6" s="7" t="n">
        <v>338688</v>
      </c>
      <c r="CJ6" s="7" t="n">
        <v>580608</v>
      </c>
      <c r="CK6" s="7" t="n">
        <v>169344</v>
      </c>
      <c r="CL6" s="7" t="n">
        <v>229824</v>
      </c>
      <c r="CM6" s="7" t="n">
        <v>520128</v>
      </c>
      <c r="CN6" s="7" t="n">
        <v>312077</v>
      </c>
      <c r="CO6" s="7" t="n">
        <v>208051</v>
      </c>
      <c r="CP6" s="7" t="inlineStr">
        <is>
          <t>auditor1</t>
        </is>
      </c>
      <c r="CQ6" s="7" t="inlineStr">
        <is>
          <t>sup1</t>
        </is>
      </c>
      <c r="CR6" s="7" t="inlineStr">
        <is>
          <t>enum1</t>
        </is>
      </c>
      <c r="CS6" s="7" t="inlineStr">
        <is>
          <t>sup1</t>
        </is>
      </c>
      <c r="CT6" s="7" t="n">
        <v>1</v>
      </c>
      <c r="CU6" s="7" t="inlineStr">
        <is>
          <t>Active</t>
        </is>
      </c>
      <c r="CV6" s="7" t="inlineStr">
        <is>
          <t>نشطة</t>
        </is>
      </c>
      <c r="CW6" s="7" t="inlineStr">
        <is>
          <t>Ahmed Enumerator</t>
        </is>
      </c>
      <c r="CX6" s="7" t="inlineStr">
        <is>
          <t>Fatima Auditor</t>
        </is>
      </c>
      <c r="CY6" s="7" t="inlineStr">
        <is>
          <t>4610</t>
        </is>
      </c>
      <c r="CZ6" s="7" t="inlineStr">
        <is>
          <t>Wholesale trade</t>
        </is>
      </c>
      <c r="DA6" s="7" t="inlineStr">
        <is>
          <t>تجارة الجملة</t>
        </is>
      </c>
      <c r="DB6" s="7" t="n">
        <v>313600</v>
      </c>
      <c r="DC6" s="7" t="n">
        <v>537600</v>
      </c>
      <c r="DD6" s="7" t="n">
        <v>156800</v>
      </c>
      <c r="DE6" s="7" t="n">
        <v>212800</v>
      </c>
      <c r="DF6" s="7" t="n">
        <v>481600</v>
      </c>
      <c r="DG6" s="7" t="n">
        <v>288960</v>
      </c>
      <c r="DH6" s="7" t="n">
        <v>192640</v>
      </c>
      <c r="DI6" s="7" t="inlineStr">
        <is>
          <t>auditor1</t>
        </is>
      </c>
      <c r="DJ6" s="7" t="inlineStr">
        <is>
          <t>sup1</t>
        </is>
      </c>
      <c r="DK6" s="7" t="inlineStr">
        <is>
          <t>enum1</t>
        </is>
      </c>
      <c r="DL6" s="7" t="inlineStr">
        <is>
          <t>sup1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2026-10-21T10:38:04Z</dcterms:created>
  <dcterms:modified xsi:type="dcterms:W3CDTF">2026-10-21T10:38:04Z</dcterms:modified>
</cp:coreProperties>
</file>