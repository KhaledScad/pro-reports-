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ES Calculations" sheetId="1" state="visible" r:id="rId1"/>
    <sheet name="QES Comparisons" sheetId="2" state="visible" r:id="rId2"/>
    <sheet name="FISQ Calculations" sheetId="3" state="visible" r:id="rId3"/>
    <sheet name="FISQ Comparisons" sheetId="4" state="visible" r:id="rId4"/>
  </sheets>
  <definedNames>
    <definedName name="_xlnm._FilterDatabase" localSheetId="0" hidden="1">'QES Calculations'!$A$1:$G$36</definedName>
    <definedName name="_xlnm._FilterDatabase" localSheetId="1" hidden="1">'QES Comparisons'!$A$1:$G$21</definedName>
    <definedName name="_xlnm._FilterDatabase" localSheetId="2" hidden="1">'FISQ Calculations'!$A$1:$G$34</definedName>
    <definedName name="_xlnm._FilterDatabase" localSheetId="3" hidden="1">'FISQ Comparisons'!$A$1:$G$15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222222"/>
      <sz val="11"/>
    </font>
  </fonts>
  <fills count="5">
    <fill>
      <patternFill/>
    </fill>
    <fill>
      <patternFill patternType="gray125"/>
    </fill>
    <fill>
      <patternFill patternType="solid">
        <fgColor rgb="00D61F2C"/>
      </patternFill>
    </fill>
    <fill>
      <patternFill patternType="solid">
        <fgColor rgb="00FDE9E9"/>
      </patternFill>
    </fill>
    <fill>
      <patternFill patternType="solid">
        <fgColor rgb="00F7F7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2" customWidth="1" min="3" max="3"/>
    <col width="10" customWidth="1" min="4" max="4"/>
    <col width="24" customWidth="1" min="5" max="5"/>
    <col width="55" customWidth="1" min="6" max="6"/>
    <col width="16" customWidth="1" min="7" max="7"/>
  </cols>
  <sheetData>
    <row r="1" ht="28" customHeight="1">
      <c r="A1" s="1" t="inlineStr">
        <is>
          <t>Variable / Column name</t>
        </is>
      </c>
      <c r="B1" s="1" t="inlineStr">
        <is>
          <t>Category</t>
        </is>
      </c>
      <c r="C1" s="1" t="inlineStr">
        <is>
          <t>Required?</t>
        </is>
      </c>
      <c r="D1" s="1" t="inlineStr">
        <is>
          <t>Data type</t>
        </is>
      </c>
      <c r="E1" s="1" t="inlineStr">
        <is>
          <t>Applies to (business type)</t>
        </is>
      </c>
      <c r="F1" s="1" t="inlineStr">
        <is>
          <t>Description</t>
        </is>
      </c>
      <c r="G1" s="1" t="inlineStr">
        <is>
          <t>Example value</t>
        </is>
      </c>
    </row>
    <row r="2" ht="20" customHeight="1">
      <c r="A2" s="2" t="inlineStr">
        <is>
          <t>Identification &amp; assignment (one value per Frame ID, no quarter prefix)</t>
        </is>
      </c>
      <c r="B2" s="3" t="n"/>
      <c r="C2" s="3" t="n"/>
      <c r="D2" s="3" t="n"/>
      <c r="E2" s="3" t="n"/>
      <c r="F2" s="3" t="n"/>
      <c r="G2" s="3" t="n"/>
    </row>
    <row r="3">
      <c r="A3" s="4" t="inlineStr">
        <is>
          <t>FRAME_ID</t>
        </is>
      </c>
      <c r="B3" s="4" t="inlineStr">
        <is>
          <t>Identification</t>
        </is>
      </c>
      <c r="C3" s="4" t="inlineStr">
        <is>
          <t>Required</t>
        </is>
      </c>
      <c r="D3" s="4" t="inlineStr">
        <is>
          <t>Text</t>
        </is>
      </c>
      <c r="E3" s="4" t="inlineStr">
        <is>
          <t>All</t>
        </is>
      </c>
      <c r="F3" s="4" t="inlineStr">
        <is>
          <t>Unique establishment / project identifier. One row per Frame ID.</t>
        </is>
      </c>
      <c r="G3" s="4" t="inlineStr">
        <is>
          <t>F001</t>
        </is>
      </c>
    </row>
    <row r="4">
      <c r="A4" s="5" t="inlineStr">
        <is>
          <t>ESTABLISHMENT_NAME</t>
        </is>
      </c>
      <c r="B4" s="5" t="inlineStr">
        <is>
          <t>Identification</t>
        </is>
      </c>
      <c r="C4" s="5" t="inlineStr">
        <is>
          <t>Optional</t>
        </is>
      </c>
      <c r="D4" s="5" t="inlineStr">
        <is>
          <t>Text</t>
        </is>
      </c>
      <c r="E4" s="5" t="inlineStr">
        <is>
          <t>All</t>
        </is>
      </c>
      <c r="F4" s="5" t="inlineStr">
        <is>
          <t>Business / establishment name shown on the record.</t>
        </is>
      </c>
      <c r="G4" s="5" t="inlineStr">
        <is>
          <t>Al Noor Trading LLC</t>
        </is>
      </c>
    </row>
    <row r="5">
      <c r="A5" s="4" t="inlineStr">
        <is>
          <t>ACTIVITY_TYPE_EN / ACTIVITY_TYPE_AR</t>
        </is>
      </c>
      <c r="B5" s="4" t="inlineStr">
        <is>
          <t>Identification</t>
        </is>
      </c>
      <c r="C5" s="4" t="inlineStr">
        <is>
          <t>Optional</t>
        </is>
      </c>
      <c r="D5" s="4" t="inlineStr">
        <is>
          <t>Text</t>
        </is>
      </c>
      <c r="E5" s="4" t="inlineStr">
        <is>
          <t>All</t>
        </is>
      </c>
      <c r="F5" s="4" t="inlineStr">
        <is>
          <t>Business activity in English/Arabic. Used with ISIC4 to classify Trade / Industry / Construction / Transport.</t>
        </is>
      </c>
      <c r="G5" s="4" t="inlineStr">
        <is>
          <t>Trade</t>
        </is>
      </c>
    </row>
    <row r="6">
      <c r="A6" s="5" t="inlineStr">
        <is>
          <t>ISIC4</t>
        </is>
      </c>
      <c r="B6" s="5" t="inlineStr">
        <is>
          <t>Identification</t>
        </is>
      </c>
      <c r="C6" s="5" t="inlineStr">
        <is>
          <t>Optional</t>
        </is>
      </c>
      <c r="D6" s="5" t="inlineStr">
        <is>
          <t>Text/Number</t>
        </is>
      </c>
      <c r="E6" s="5" t="inlineStr">
        <is>
          <t>All</t>
        </is>
      </c>
      <c r="F6" s="5" t="inlineStr">
        <is>
          <t>ISIC Rev.4 activity code. First 2 digits are used as a fallback classifier (45-47 Trade, 10-33 Industry, 41-43 Construction, 49-53 Transport).</t>
        </is>
      </c>
      <c r="G6" s="5" t="inlineStr">
        <is>
          <t>4610</t>
        </is>
      </c>
    </row>
    <row r="7">
      <c r="A7" s="4" t="inlineStr">
        <is>
          <t>ISIC4_DESC_EN / ISIC4_DESC_AR</t>
        </is>
      </c>
      <c r="B7" s="4" t="inlineStr">
        <is>
          <t>Identification</t>
        </is>
      </c>
      <c r="C7" s="4" t="inlineStr">
        <is>
          <t>Optional</t>
        </is>
      </c>
      <c r="D7" s="4" t="inlineStr">
        <is>
          <t>Text</t>
        </is>
      </c>
      <c r="E7" s="4" t="inlineStr">
        <is>
          <t>All</t>
        </is>
      </c>
      <c r="F7" s="4" t="inlineStr">
        <is>
          <t>ISIC4 description text, also scanned for classification keywords.</t>
        </is>
      </c>
      <c r="G7" s="4" t="inlineStr">
        <is>
          <t>Wholesale trade</t>
        </is>
      </c>
    </row>
    <row r="8">
      <c r="A8" s="5" t="inlineStr">
        <is>
          <t>AUDITOR_NAME_EN / AUDITOR_NAME_AR</t>
        </is>
      </c>
      <c r="B8" s="5" t="inlineStr">
        <is>
          <t>Assignment</t>
        </is>
      </c>
      <c r="C8" s="5" t="inlineStr">
        <is>
          <t>Optional</t>
        </is>
      </c>
      <c r="D8" s="5" t="inlineStr">
        <is>
          <t>Text</t>
        </is>
      </c>
      <c r="E8" s="5" t="inlineStr">
        <is>
          <t>All</t>
        </is>
      </c>
      <c r="F8" s="5" t="inlineStr">
        <is>
          <t>Auditor's display name.</t>
        </is>
      </c>
      <c r="G8" s="5" t="inlineStr">
        <is>
          <t>Fatima Auditor</t>
        </is>
      </c>
    </row>
    <row r="9">
      <c r="A9" s="4" t="inlineStr">
        <is>
          <t>Auditor_User_Name</t>
        </is>
      </c>
      <c r="B9" s="4" t="inlineStr">
        <is>
          <t>Assignment</t>
        </is>
      </c>
      <c r="C9" s="4" t="inlineStr">
        <is>
          <t>Required for Auditor role</t>
        </is>
      </c>
      <c r="D9" s="4" t="inlineStr">
        <is>
          <t>Text</t>
        </is>
      </c>
      <c r="E9" s="4" t="inlineStr">
        <is>
          <t>All</t>
        </is>
      </c>
      <c r="F9" s="4" t="inlineStr">
        <is>
          <t>Login username of the Auditor. A user whose Job = 'Auditor' can only open records where this matches their username, in any quarter.</t>
        </is>
      </c>
      <c r="G9" s="4" t="inlineStr">
        <is>
          <t>auditor1</t>
        </is>
      </c>
    </row>
    <row r="10">
      <c r="A10" s="5" t="inlineStr">
        <is>
          <t>ENUMERATOR_NAME_EN / AR</t>
        </is>
      </c>
      <c r="B10" s="5" t="inlineStr">
        <is>
          <t>Assignment</t>
        </is>
      </c>
      <c r="C10" s="5" t="inlineStr">
        <is>
          <t>Optional</t>
        </is>
      </c>
      <c r="D10" s="5" t="inlineStr">
        <is>
          <t>Text</t>
        </is>
      </c>
      <c r="E10" s="5" t="inlineStr">
        <is>
          <t>All</t>
        </is>
      </c>
      <c r="F10" s="5" t="inlineStr">
        <is>
          <t>Enumerator / Key Account Manager display name.</t>
        </is>
      </c>
      <c r="G10" s="5" t="inlineStr">
        <is>
          <t>Ahmed Enumerator</t>
        </is>
      </c>
    </row>
    <row r="11">
      <c r="A11" s="4" t="inlineStr">
        <is>
          <t>_ENUMERATOR_User_name</t>
        </is>
      </c>
      <c r="B11" s="4" t="inlineStr">
        <is>
          <t>Assignment</t>
        </is>
      </c>
      <c r="C11" s="4" t="inlineStr">
        <is>
          <t>Required for Enumerator role</t>
        </is>
      </c>
      <c r="D11" s="4" t="inlineStr">
        <is>
          <t>Text</t>
        </is>
      </c>
      <c r="E11" s="4" t="inlineStr">
        <is>
          <t>All</t>
        </is>
      </c>
      <c r="F11" s="4" t="inlineStr">
        <is>
          <t>Login username of the Enumerator / Key Account Manager. Same per-quarter matching as Auditor.</t>
        </is>
      </c>
      <c r="G11" s="4" t="inlineStr">
        <is>
          <t>enum1</t>
        </is>
      </c>
    </row>
    <row r="12">
      <c r="A12" s="5" t="inlineStr">
        <is>
          <t>Supervisor_USER_Name</t>
        </is>
      </c>
      <c r="B12" s="5" t="inlineStr">
        <is>
          <t>Assignment</t>
        </is>
      </c>
      <c r="C12" s="5" t="inlineStr">
        <is>
          <t>Required for Supervisor role</t>
        </is>
      </c>
      <c r="D12" s="5" t="inlineStr">
        <is>
          <t>Text</t>
        </is>
      </c>
      <c r="E12" s="5" t="inlineStr">
        <is>
          <t>All</t>
        </is>
      </c>
      <c r="F12" s="5" t="inlineStr">
        <is>
          <t>Login username of the Supervisor. A user whose Job contains 'Supervisor' only sees records where this matches.</t>
        </is>
      </c>
      <c r="G12" s="5" t="inlineStr">
        <is>
          <t>sup1</t>
        </is>
      </c>
    </row>
    <row r="13" ht="20" customHeight="1">
      <c r="A13" s="2" t="inlineStr">
        <is>
          <t>Per-quarter financial inputs — prefix each with the quarter, e.g. Q1_2026_Total_Revenue</t>
        </is>
      </c>
      <c r="B13" s="3" t="n"/>
      <c r="C13" s="3" t="n"/>
      <c r="D13" s="3" t="n"/>
      <c r="E13" s="3" t="n"/>
      <c r="F13" s="3" t="n"/>
      <c r="G13" s="3" t="n"/>
    </row>
    <row r="14">
      <c r="A14" s="5" t="inlineStr">
        <is>
          <t>Total_Revenue</t>
        </is>
      </c>
      <c r="B14" s="5" t="inlineStr">
        <is>
          <t>Financial input</t>
        </is>
      </c>
      <c r="C14" s="5" t="inlineStr">
        <is>
          <t>Required</t>
        </is>
      </c>
      <c r="D14" s="5" t="inlineStr">
        <is>
          <t>Number</t>
        </is>
      </c>
      <c r="E14" s="5" t="inlineStr">
        <is>
          <t>All</t>
        </is>
      </c>
      <c r="F14" s="5" t="inlineStr">
        <is>
          <t>Quarter revenue / sales, excluding VAT.</t>
        </is>
      </c>
      <c r="G14" s="5" t="inlineStr">
        <is>
          <t>500000</t>
        </is>
      </c>
    </row>
    <row r="15">
      <c r="A15" s="4" t="inlineStr">
        <is>
          <t>Total_Expenses</t>
        </is>
      </c>
      <c r="B15" s="4" t="inlineStr">
        <is>
          <t>Financial input</t>
        </is>
      </c>
      <c r="C15" s="4" t="inlineStr">
        <is>
          <t>Required</t>
        </is>
      </c>
      <c r="D15" s="4" t="inlineStr">
        <is>
          <t>Number</t>
        </is>
      </c>
      <c r="E15" s="4" t="inlineStr">
        <is>
          <t>All</t>
        </is>
      </c>
      <c r="F15" s="4" t="inlineStr">
        <is>
          <t>Total quarter expenses (used for Profit and as part of Intermediate Consumption).</t>
        </is>
      </c>
      <c r="G15" s="4" t="inlineStr">
        <is>
          <t>120000</t>
        </is>
      </c>
    </row>
    <row r="16">
      <c r="A16" s="5" t="inlineStr">
        <is>
          <t>Operations_Cost</t>
        </is>
      </c>
      <c r="B16" s="5" t="inlineStr">
        <is>
          <t>Financial input</t>
        </is>
      </c>
      <c r="C16" s="5" t="inlineStr">
        <is>
          <t>Required</t>
        </is>
      </c>
      <c r="D16" s="5" t="inlineStr">
        <is>
          <t>Number</t>
        </is>
      </c>
      <c r="E16" s="5" t="inlineStr">
        <is>
          <t>All</t>
        </is>
      </c>
      <c r="F16" s="5" t="inlineStr">
        <is>
          <t>Operating / administrative expenses, part of Intermediate Consumption.</t>
        </is>
      </c>
      <c r="G16" s="5" t="inlineStr">
        <is>
          <t>60000</t>
        </is>
      </c>
    </row>
    <row r="17">
      <c r="A17" s="4" t="inlineStr">
        <is>
          <t>RAW_Material</t>
        </is>
      </c>
      <c r="B17" s="4" t="inlineStr">
        <is>
          <t>Financial input</t>
        </is>
      </c>
      <c r="C17" s="4" t="inlineStr">
        <is>
          <t>Required for Trade &amp; Industry</t>
        </is>
      </c>
      <c r="D17" s="4" t="inlineStr">
        <is>
          <t>Number</t>
        </is>
      </c>
      <c r="E17" s="4" t="inlineStr">
        <is>
          <t>Trade, Industry</t>
        </is>
      </c>
      <c r="F17" s="4" t="inlineStr">
        <is>
          <t>Raw materials used (Industry) or net purchases of goods for resale (Trade).</t>
        </is>
      </c>
      <c r="G17" s="4" t="inlineStr">
        <is>
          <t>30000</t>
        </is>
      </c>
    </row>
    <row r="18">
      <c r="A18" s="5" t="inlineStr">
        <is>
          <t>Total_Finished_Goods_Begining_Of_period</t>
        </is>
      </c>
      <c r="B18" s="5" t="inlineStr">
        <is>
          <t>Financial input</t>
        </is>
      </c>
      <c r="C18" s="5" t="inlineStr">
        <is>
          <t>Required for Trade &amp; Industry</t>
        </is>
      </c>
      <c r="D18" s="5" t="inlineStr">
        <is>
          <t>Number</t>
        </is>
      </c>
      <c r="E18" s="5" t="inlineStr">
        <is>
          <t>Trade, Industry</t>
        </is>
      </c>
      <c r="F18" s="5" t="inlineStr">
        <is>
          <t>Opening inventory value for the quarter.</t>
        </is>
      </c>
      <c r="G18" s="5" t="inlineStr">
        <is>
          <t>20000</t>
        </is>
      </c>
    </row>
    <row r="19">
      <c r="A19" s="4" t="inlineStr">
        <is>
          <t>Total_Finished_Goods_End_of_period</t>
        </is>
      </c>
      <c r="B19" s="4" t="inlineStr">
        <is>
          <t>Financial input</t>
        </is>
      </c>
      <c r="C19" s="4" t="inlineStr">
        <is>
          <t>Required for Trade &amp; Industry</t>
        </is>
      </c>
      <c r="D19" s="4" t="inlineStr">
        <is>
          <t>Number</t>
        </is>
      </c>
      <c r="E19" s="4" t="inlineStr">
        <is>
          <t>Trade, Industry</t>
        </is>
      </c>
      <c r="F19" s="4" t="inlineStr">
        <is>
          <t>Closing inventory value for the quarter. Compared to next quarter's opening value in the comparison page.</t>
        </is>
      </c>
      <c r="G19" s="4" t="inlineStr">
        <is>
          <t>25000</t>
        </is>
      </c>
    </row>
    <row r="20">
      <c r="A20" s="5" t="inlineStr">
        <is>
          <t>IC</t>
        </is>
      </c>
      <c r="B20" s="5" t="inlineStr">
        <is>
          <t>Financial input (override)</t>
        </is>
      </c>
      <c r="C20" s="5" t="inlineStr">
        <is>
          <t>Optional</t>
        </is>
      </c>
      <c r="D20" s="5" t="inlineStr">
        <is>
          <t>Number</t>
        </is>
      </c>
      <c r="E20" s="5" t="inlineStr">
        <is>
          <t>All</t>
        </is>
      </c>
      <c r="F20" s="5" t="inlineStr">
        <is>
          <t>Intermediate Consumption supplied directly in the file. If present it REPLACES the calculated formula below.</t>
        </is>
      </c>
      <c r="G20" s="5" t="inlineStr">
        <is>
          <t>180000</t>
        </is>
      </c>
    </row>
    <row r="21">
      <c r="A21" s="4" t="inlineStr">
        <is>
          <t>TOTAL_EMPLOYEES</t>
        </is>
      </c>
      <c r="B21" s="4" t="inlineStr">
        <is>
          <t>Financial input</t>
        </is>
      </c>
      <c r="C21" s="4" t="inlineStr">
        <is>
          <t>Required for Average Salary</t>
        </is>
      </c>
      <c r="D21" s="4" t="inlineStr">
        <is>
          <t>Number</t>
        </is>
      </c>
      <c r="E21" s="4" t="inlineStr">
        <is>
          <t>All</t>
        </is>
      </c>
      <c r="F21" s="4" t="inlineStr">
        <is>
          <t>Headcount for the quarter.</t>
        </is>
      </c>
      <c r="G21" s="4" t="inlineStr">
        <is>
          <t>12</t>
        </is>
      </c>
    </row>
    <row r="22">
      <c r="A22" s="5" t="inlineStr">
        <is>
          <t>Employee_Salary</t>
        </is>
      </c>
      <c r="B22" s="5" t="inlineStr">
        <is>
          <t>Financial input</t>
        </is>
      </c>
      <c r="C22" s="5" t="inlineStr">
        <is>
          <t>Required for Average Salary</t>
        </is>
      </c>
      <c r="D22" s="5" t="inlineStr">
        <is>
          <t>Number</t>
        </is>
      </c>
      <c r="E22" s="5" t="inlineStr">
        <is>
          <t>All</t>
        </is>
      </c>
      <c r="F22" s="5" t="inlineStr">
        <is>
          <t>Total quarterly employee compensation (used to derive a monthly average).</t>
        </is>
      </c>
      <c r="G22" s="5" t="inlineStr">
        <is>
          <t>180000</t>
        </is>
      </c>
    </row>
    <row r="23">
      <c r="A23" s="4" t="inlineStr">
        <is>
          <t>Comment_Revenue</t>
        </is>
      </c>
      <c r="B23" s="4" t="inlineStr">
        <is>
          <t>Note</t>
        </is>
      </c>
      <c r="C23" s="4" t="inlineStr">
        <is>
          <t>Optional</t>
        </is>
      </c>
      <c r="D23" s="4" t="inlineStr">
        <is>
          <t>Text</t>
        </is>
      </c>
      <c r="E23" s="4" t="inlineStr">
        <is>
          <t>All</t>
        </is>
      </c>
      <c r="F23" s="4" t="inlineStr">
        <is>
          <t>Free-text note on the revenue figure, shown alongside the record.</t>
        </is>
      </c>
      <c r="G23" s="4" t="inlineStr">
        <is>
          <t>Confirmed with client</t>
        </is>
      </c>
    </row>
    <row r="24">
      <c r="A24" s="5" t="inlineStr">
        <is>
          <t>Comment_Expense</t>
        </is>
      </c>
      <c r="B24" s="5" t="inlineStr">
        <is>
          <t>Note</t>
        </is>
      </c>
      <c r="C24" s="5" t="inlineStr">
        <is>
          <t>Optional</t>
        </is>
      </c>
      <c r="D24" s="5" t="inlineStr">
        <is>
          <t>Text</t>
        </is>
      </c>
      <c r="E24" s="5" t="inlineStr">
        <is>
          <t>All</t>
        </is>
      </c>
      <c r="F24" s="5" t="inlineStr">
        <is>
          <t>Free-text note on the expenses figure.</t>
        </is>
      </c>
      <c r="G24" s="5" t="inlineStr"/>
    </row>
    <row r="25">
      <c r="A25" s="4" t="inlineStr">
        <is>
          <t>Comment_Inventory</t>
        </is>
      </c>
      <c r="B25" s="4" t="inlineStr">
        <is>
          <t>Note</t>
        </is>
      </c>
      <c r="C25" s="4" t="inlineStr">
        <is>
          <t>Optional</t>
        </is>
      </c>
      <c r="D25" s="4" t="inlineStr">
        <is>
          <t>Text</t>
        </is>
      </c>
      <c r="E25" s="4" t="inlineStr">
        <is>
          <t>All</t>
        </is>
      </c>
      <c r="F25" s="4" t="inlineStr">
        <is>
          <t>Free-text note on the inventory figures.</t>
        </is>
      </c>
      <c r="G25" s="4" t="inlineStr"/>
    </row>
    <row r="26" ht="20" customHeight="1">
      <c r="A26" s="2" t="inlineStr">
        <is>
          <t>Calculated outputs (produced by the tool — do not upload these)</t>
        </is>
      </c>
      <c r="B26" s="3" t="n"/>
      <c r="C26" s="3" t="n"/>
      <c r="D26" s="3" t="n"/>
      <c r="E26" s="3" t="n"/>
      <c r="F26" s="3" t="n"/>
      <c r="G26" s="3" t="n"/>
    </row>
    <row r="27">
      <c r="A27" s="4" t="inlineStr">
        <is>
          <t>Business classification</t>
        </is>
      </c>
      <c r="B27" s="4" t="inlineStr">
        <is>
          <t>Calculated</t>
        </is>
      </c>
      <c r="C27" s="4" t="inlineStr">
        <is>
          <t>—</t>
        </is>
      </c>
      <c r="D27" s="4" t="inlineStr">
        <is>
          <t>Text</t>
        </is>
      </c>
      <c r="E27" s="4" t="inlineStr">
        <is>
          <t>All</t>
        </is>
      </c>
      <c r="F27" s="4" t="inlineStr">
        <is>
          <t>Trade / Industry / Construction / Transport / Other, derived from ISIC4 and activity text.</t>
        </is>
      </c>
      <c r="G27" s="4" t="inlineStr">
        <is>
          <t>Trade</t>
        </is>
      </c>
    </row>
    <row r="28">
      <c r="A28" s="5" t="inlineStr">
        <is>
          <t>Gross Output</t>
        </is>
      </c>
      <c r="B28" s="5" t="inlineStr">
        <is>
          <t>Calculated</t>
        </is>
      </c>
      <c r="C28" s="5" t="inlineStr">
        <is>
          <t>—</t>
        </is>
      </c>
      <c r="D28" s="5" t="inlineStr">
        <is>
          <t>Number</t>
        </is>
      </c>
      <c r="E28" s="5" t="inlineStr">
        <is>
          <t>All</t>
        </is>
      </c>
      <c r="F28" s="5" t="inlineStr">
        <is>
          <t>Trade: Revenue + End Inv. − Begin Inv. − Raw Material.  Industry/Other: Revenue + End Inv. − Begin Inv.  Construction/Transport: Revenue.</t>
        </is>
      </c>
      <c r="G28" s="5" t="inlineStr">
        <is>
          <t>511,000</t>
        </is>
      </c>
    </row>
    <row r="29">
      <c r="A29" s="4" t="inlineStr">
        <is>
          <t>Intermediate Consumption (IC)</t>
        </is>
      </c>
      <c r="B29" s="4" t="inlineStr">
        <is>
          <t>Calculated</t>
        </is>
      </c>
      <c r="C29" s="4" t="inlineStr">
        <is>
          <t>—</t>
        </is>
      </c>
      <c r="D29" s="4" t="inlineStr">
        <is>
          <t>Number</t>
        </is>
      </c>
      <c r="E29" s="4" t="inlineStr">
        <is>
          <t>All</t>
        </is>
      </c>
      <c r="F29" s="4" t="inlineStr">
        <is>
          <t>Trade/Construction/Transport: Operations Cost + Expenses.  Industry/Other: Operations Cost + Expenses + Raw Material.  Uses the IC column instead if it was supplied.</t>
        </is>
      </c>
      <c r="G29" s="4" t="inlineStr">
        <is>
          <t>192,000</t>
        </is>
      </c>
    </row>
    <row r="30">
      <c r="A30" s="5" t="inlineStr">
        <is>
          <t>Added Value</t>
        </is>
      </c>
      <c r="B30" s="5" t="inlineStr">
        <is>
          <t>Calculated</t>
        </is>
      </c>
      <c r="C30" s="5" t="inlineStr">
        <is>
          <t>—</t>
        </is>
      </c>
      <c r="D30" s="5" t="inlineStr">
        <is>
          <t>Number</t>
        </is>
      </c>
      <c r="E30" s="5" t="inlineStr">
        <is>
          <t>All</t>
        </is>
      </c>
      <c r="F30" s="5" t="inlineStr">
        <is>
          <t>Gross Output − Intermediate Consumption.</t>
        </is>
      </c>
      <c r="G30" s="5" t="inlineStr">
        <is>
          <t>319,000</t>
        </is>
      </c>
    </row>
    <row r="31">
      <c r="A31" s="4" t="inlineStr">
        <is>
          <t>Profit</t>
        </is>
      </c>
      <c r="B31" s="4" t="inlineStr">
        <is>
          <t>Calculated</t>
        </is>
      </c>
      <c r="C31" s="4" t="inlineStr">
        <is>
          <t>—</t>
        </is>
      </c>
      <c r="D31" s="4" t="inlineStr">
        <is>
          <t>Number</t>
        </is>
      </c>
      <c r="E31" s="4" t="inlineStr">
        <is>
          <t>All</t>
        </is>
      </c>
      <c r="F31" s="4" t="inlineStr">
        <is>
          <t>Total Revenue − Total Expenses.</t>
        </is>
      </c>
      <c r="G31" s="4" t="inlineStr">
        <is>
          <t>410,000</t>
        </is>
      </c>
    </row>
    <row r="32">
      <c r="A32" s="5" t="inlineStr">
        <is>
          <t>Average Salary</t>
        </is>
      </c>
      <c r="B32" s="5" t="inlineStr">
        <is>
          <t>Calculated</t>
        </is>
      </c>
      <c r="C32" s="5" t="inlineStr">
        <is>
          <t>—</t>
        </is>
      </c>
      <c r="D32" s="5" t="inlineStr">
        <is>
          <t>Number</t>
        </is>
      </c>
      <c r="E32" s="5" t="inlineStr">
        <is>
          <t>All</t>
        </is>
      </c>
      <c r="F32" s="5" t="inlineStr">
        <is>
          <t>Employee_Salary ÷ TOTAL_EMPLOYEES ÷ 3 (quarterly salary spread over 3 months).</t>
        </is>
      </c>
      <c r="G32" s="5" t="inlineStr">
        <is>
          <t>5,000</t>
        </is>
      </c>
    </row>
    <row r="33">
      <c r="A33" s="4" t="inlineStr">
        <is>
          <t>Profit %</t>
        </is>
      </c>
      <c r="B33" s="4" t="inlineStr">
        <is>
          <t>Calculated</t>
        </is>
      </c>
      <c r="C33" s="4" t="inlineStr">
        <is>
          <t>—</t>
        </is>
      </c>
      <c r="D33" s="4" t="inlineStr">
        <is>
          <t>Percent</t>
        </is>
      </c>
      <c r="E33" s="4" t="inlineStr">
        <is>
          <t>All</t>
        </is>
      </c>
      <c r="F33" s="4" t="inlineStr">
        <is>
          <t>Profit ÷ |Revenue| × 100.</t>
        </is>
      </c>
      <c r="G33" s="4" t="inlineStr">
        <is>
          <t>75.9%</t>
        </is>
      </c>
    </row>
    <row r="34">
      <c r="A34" s="5" t="inlineStr">
        <is>
          <t>Added Value %</t>
        </is>
      </c>
      <c r="B34" s="5" t="inlineStr">
        <is>
          <t>Calculated</t>
        </is>
      </c>
      <c r="C34" s="5" t="inlineStr">
        <is>
          <t>—</t>
        </is>
      </c>
      <c r="D34" s="5" t="inlineStr">
        <is>
          <t>Percent</t>
        </is>
      </c>
      <c r="E34" s="5" t="inlineStr">
        <is>
          <t>All</t>
        </is>
      </c>
      <c r="F34" s="5" t="inlineStr">
        <is>
          <t>Added Value ÷ |Gross Output| × 100.</t>
        </is>
      </c>
      <c r="G34" s="5" t="inlineStr">
        <is>
          <t>62.4%</t>
        </is>
      </c>
    </row>
    <row r="35">
      <c r="A35" s="4" t="inlineStr">
        <is>
          <t>Intermediate Consumption %</t>
        </is>
      </c>
      <c r="B35" s="4" t="inlineStr">
        <is>
          <t>Calculated</t>
        </is>
      </c>
      <c r="C35" s="4" t="inlineStr">
        <is>
          <t>—</t>
        </is>
      </c>
      <c r="D35" s="4" t="inlineStr">
        <is>
          <t>Percent</t>
        </is>
      </c>
      <c r="E35" s="4" t="inlineStr">
        <is>
          <t>All</t>
        </is>
      </c>
      <c r="F35" s="4" t="inlineStr">
        <is>
          <t>Intermediate Consumption ÷ |Gross Output| × 100.</t>
        </is>
      </c>
      <c r="G35" s="4" t="inlineStr">
        <is>
          <t>37.6%</t>
        </is>
      </c>
    </row>
    <row r="36">
      <c r="A36" s="5" t="inlineStr">
        <is>
          <t>Validation status</t>
        </is>
      </c>
      <c r="B36" s="5" t="inlineStr">
        <is>
          <t>Calculated</t>
        </is>
      </c>
      <c r="C36" s="5" t="inlineStr">
        <is>
          <t>—</t>
        </is>
      </c>
      <c r="D36" s="5" t="inlineStr">
        <is>
          <t>Text</t>
        </is>
      </c>
      <c r="E36" s="5" t="inlineStr">
        <is>
          <t>All</t>
        </is>
      </c>
      <c r="F36" s="5" t="inlineStr">
        <is>
          <t>'Positive added value' / 'Negative added value' / 'Zero added value'.</t>
        </is>
      </c>
      <c r="G36" s="5" t="inlineStr">
        <is>
          <t>Positive added value</t>
        </is>
      </c>
    </row>
  </sheetData>
  <autoFilter ref="A1:G36"/>
  <mergeCells count="3">
    <mergeCell ref="A13:G13"/>
    <mergeCell ref="A2:G2"/>
    <mergeCell ref="A26:G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2" customWidth="1" min="3" max="3"/>
    <col width="10" customWidth="1" min="4" max="4"/>
    <col width="24" customWidth="1" min="5" max="5"/>
    <col width="55" customWidth="1" min="6" max="6"/>
    <col width="16" customWidth="1" min="7" max="7"/>
  </cols>
  <sheetData>
    <row r="1" ht="28" customHeight="1">
      <c r="A1" s="1" t="inlineStr">
        <is>
          <t>Variable / Column name</t>
        </is>
      </c>
      <c r="B1" s="1" t="inlineStr">
        <is>
          <t>Category</t>
        </is>
      </c>
      <c r="C1" s="1" t="inlineStr">
        <is>
          <t>Required?</t>
        </is>
      </c>
      <c r="D1" s="1" t="inlineStr">
        <is>
          <t>Data type</t>
        </is>
      </c>
      <c r="E1" s="1" t="inlineStr">
        <is>
          <t>Applies to (business type)</t>
        </is>
      </c>
      <c r="F1" s="1" t="inlineStr">
        <is>
          <t>Description</t>
        </is>
      </c>
      <c r="G1" s="1" t="inlineStr">
        <is>
          <t>Example value</t>
        </is>
      </c>
    </row>
    <row r="2" ht="20" customHeight="1">
      <c r="A2" s="2" t="inlineStr">
        <is>
          <t>How comparison works</t>
        </is>
      </c>
      <c r="B2" s="3" t="n"/>
      <c r="C2" s="3" t="n"/>
      <c r="D2" s="3" t="n"/>
      <c r="E2" s="3" t="n"/>
      <c r="F2" s="3" t="n"/>
      <c r="G2" s="3" t="n"/>
    </row>
    <row r="3">
      <c r="A3" s="4" t="inlineStr">
        <is>
          <t>Frame ID</t>
        </is>
      </c>
      <c r="B3" s="4" t="inlineStr">
        <is>
          <t>Selection</t>
        </is>
      </c>
      <c r="C3" s="4" t="inlineStr">
        <is>
          <t>Required</t>
        </is>
      </c>
      <c r="D3" s="4" t="inlineStr">
        <is>
          <t>Text</t>
        </is>
      </c>
      <c r="E3" s="4" t="inlineStr">
        <is>
          <t>All</t>
        </is>
      </c>
      <c r="F3" s="4" t="inlineStr">
        <is>
          <t>One Frame ID is compared across 2 or more of its own quarters (same row, wide Q#_YYYY_ columns).</t>
        </is>
      </c>
      <c r="G3" s="4" t="inlineStr">
        <is>
          <t>F001</t>
        </is>
      </c>
    </row>
    <row r="4">
      <c r="A4" s="5" t="inlineStr">
        <is>
          <t>Selected periods</t>
        </is>
      </c>
      <c r="B4" s="5" t="inlineStr">
        <is>
          <t>Selection</t>
        </is>
      </c>
      <c r="C4" s="5" t="inlineStr">
        <is>
          <t>Required</t>
        </is>
      </c>
      <c r="D4" s="5" t="inlineStr">
        <is>
          <t>List</t>
        </is>
      </c>
      <c r="E4" s="5" t="inlineStr">
        <is>
          <t>All</t>
        </is>
      </c>
      <c r="F4" s="5" t="inlineStr">
        <is>
          <t>Every quarter present as Q#_YYYY_ prefixed columns for that Frame ID is selectable; pick 2+ to compare.</t>
        </is>
      </c>
      <c r="G4" s="5" t="inlineStr">
        <is>
          <t>Q1_2026, Q2_2026</t>
        </is>
      </c>
    </row>
    <row r="5" ht="20" customHeight="1">
      <c r="A5" s="2" t="inlineStr">
        <is>
          <t>Table 1 — Financial comparison (one row per selected quarter)</t>
        </is>
      </c>
      <c r="B5" s="3" t="n"/>
      <c r="C5" s="3" t="n"/>
      <c r="D5" s="3" t="n"/>
      <c r="E5" s="3" t="n"/>
      <c r="F5" s="3" t="n"/>
      <c r="G5" s="3" t="n"/>
    </row>
    <row r="6">
      <c r="A6" s="5" t="inlineStr">
        <is>
          <t>Revenue</t>
        </is>
      </c>
      <c r="B6" s="5" t="inlineStr">
        <is>
          <t>Financial</t>
        </is>
      </c>
      <c r="C6" s="5" t="inlineStr">
        <is>
          <t>Calculated</t>
        </is>
      </c>
      <c r="D6" s="5" t="inlineStr">
        <is>
          <t>Number</t>
        </is>
      </c>
      <c r="E6" s="5" t="inlineStr">
        <is>
          <t>All</t>
        </is>
      </c>
      <c r="F6" s="5">
        <f> Total_Revenue for that quarter.</f>
        <v/>
      </c>
      <c r="G6" s="5" t="inlineStr">
        <is>
          <t>500,000 / 540,000</t>
        </is>
      </c>
    </row>
    <row r="7">
      <c r="A7" s="4" t="inlineStr">
        <is>
          <t>Expenditure</t>
        </is>
      </c>
      <c r="B7" s="4" t="inlineStr">
        <is>
          <t>Financial</t>
        </is>
      </c>
      <c r="C7" s="4" t="inlineStr">
        <is>
          <t>Calculated</t>
        </is>
      </c>
      <c r="D7" s="4" t="inlineStr">
        <is>
          <t>Number</t>
        </is>
      </c>
      <c r="E7" s="4" t="inlineStr">
        <is>
          <t>All</t>
        </is>
      </c>
      <c r="F7" s="4">
        <f> Total_Expenses for that quarter.</f>
        <v/>
      </c>
      <c r="G7" s="4" t="inlineStr">
        <is>
          <t>120,000 / 130,000</t>
        </is>
      </c>
    </row>
    <row r="8">
      <c r="A8" s="5" t="inlineStr">
        <is>
          <t>Profit</t>
        </is>
      </c>
      <c r="B8" s="5" t="inlineStr">
        <is>
          <t>Financial</t>
        </is>
      </c>
      <c r="C8" s="5" t="inlineStr">
        <is>
          <t>Calculated</t>
        </is>
      </c>
      <c r="D8" s="5" t="inlineStr">
        <is>
          <t>Number</t>
        </is>
      </c>
      <c r="E8" s="5" t="inlineStr">
        <is>
          <t>All</t>
        </is>
      </c>
      <c r="F8" s="5">
        <f> Revenue − Expenditure.</f>
        <v/>
      </c>
      <c r="G8" s="5" t="inlineStr">
        <is>
          <t>380,000 / 410,000</t>
        </is>
      </c>
    </row>
    <row r="9">
      <c r="A9" s="4" t="inlineStr">
        <is>
          <t>Added value</t>
        </is>
      </c>
      <c r="B9" s="4" t="inlineStr">
        <is>
          <t>Financial</t>
        </is>
      </c>
      <c r="C9" s="4" t="inlineStr">
        <is>
          <t>Calculated</t>
        </is>
      </c>
      <c r="D9" s="4" t="inlineStr">
        <is>
          <t>Number</t>
        </is>
      </c>
      <c r="E9" s="4" t="inlineStr">
        <is>
          <t>All</t>
        </is>
      </c>
      <c r="F9" s="4">
        <f> Gross Output − Intermediate Consumption.</f>
        <v/>
      </c>
      <c r="G9" s="4" t="inlineStr">
        <is>
          <t>295,000 / 319,000</t>
        </is>
      </c>
    </row>
    <row r="10">
      <c r="A10" s="5" t="inlineStr">
        <is>
          <t>IC</t>
        </is>
      </c>
      <c r="B10" s="5" t="inlineStr">
        <is>
          <t>Financial</t>
        </is>
      </c>
      <c r="C10" s="5" t="inlineStr">
        <is>
          <t>Calculated</t>
        </is>
      </c>
      <c r="D10" s="5" t="inlineStr">
        <is>
          <t>Number</t>
        </is>
      </c>
      <c r="E10" s="5" t="inlineStr">
        <is>
          <t>All</t>
        </is>
      </c>
      <c r="F10" s="5" t="inlineStr">
        <is>
          <t>Intermediate Consumption for that quarter.</t>
        </is>
      </c>
      <c r="G10" s="5" t="inlineStr">
        <is>
          <t>180,000 / 192,000</t>
        </is>
      </c>
    </row>
    <row r="11">
      <c r="A11" s="4" t="inlineStr">
        <is>
          <t>Profit %, AV %, IC %</t>
        </is>
      </c>
      <c r="B11" s="4" t="inlineStr">
        <is>
          <t>Financial</t>
        </is>
      </c>
      <c r="C11" s="4" t="inlineStr">
        <is>
          <t>Calculated</t>
        </is>
      </c>
      <c r="D11" s="4" t="inlineStr">
        <is>
          <t>Percent</t>
        </is>
      </c>
      <c r="E11" s="4" t="inlineStr">
        <is>
          <t>All</t>
        </is>
      </c>
      <c r="F11" s="4" t="inlineStr">
        <is>
          <t>Same ratios as the single-quarter calculation page.</t>
        </is>
      </c>
      <c r="G11" s="4" t="inlineStr">
        <is>
          <t>75.9% / 62.4% / 37.6%</t>
        </is>
      </c>
    </row>
    <row r="12" ht="20" customHeight="1">
      <c r="A12" s="2" t="inlineStr">
        <is>
          <t>Table 2 — Inventory continuity (one row per selected quarter)</t>
        </is>
      </c>
      <c r="B12" s="3" t="n"/>
      <c r="C12" s="3" t="n"/>
      <c r="D12" s="3" t="n"/>
      <c r="E12" s="3" t="n"/>
      <c r="F12" s="3" t="n"/>
      <c r="G12" s="3" t="n"/>
    </row>
    <row r="13">
      <c r="A13" s="4" t="inlineStr">
        <is>
          <t>Inventory start</t>
        </is>
      </c>
      <c r="B13" s="4" t="inlineStr">
        <is>
          <t>Inventory</t>
        </is>
      </c>
      <c r="C13" s="4" t="inlineStr">
        <is>
          <t>Financial input</t>
        </is>
      </c>
      <c r="D13" s="4" t="inlineStr">
        <is>
          <t>Number</t>
        </is>
      </c>
      <c r="E13" s="4" t="inlineStr">
        <is>
          <t>Trade, Industry</t>
        </is>
      </c>
      <c r="F13" s="4">
        <f> Total_Finished_Goods_Begining_Of_period for that quarter.</f>
        <v/>
      </c>
      <c r="G13" s="4" t="inlineStr">
        <is>
          <t>20,000</t>
        </is>
      </c>
    </row>
    <row r="14">
      <c r="A14" s="5" t="inlineStr">
        <is>
          <t>Inventory end</t>
        </is>
      </c>
      <c r="B14" s="5" t="inlineStr">
        <is>
          <t>Inventory</t>
        </is>
      </c>
      <c r="C14" s="5" t="inlineStr">
        <is>
          <t>Financial input</t>
        </is>
      </c>
      <c r="D14" s="5" t="inlineStr">
        <is>
          <t>Number</t>
        </is>
      </c>
      <c r="E14" s="5" t="inlineStr">
        <is>
          <t>Trade, Industry</t>
        </is>
      </c>
      <c r="F14" s="5">
        <f> Total_Finished_Goods_End_of_period for that quarter.</f>
        <v/>
      </c>
      <c r="G14" s="5" t="inlineStr">
        <is>
          <t>25,000</t>
        </is>
      </c>
    </row>
    <row r="15">
      <c r="A15" s="4" t="inlineStr">
        <is>
          <t>Validation</t>
        </is>
      </c>
      <c r="B15" s="4" t="inlineStr">
        <is>
          <t>Inventory</t>
        </is>
      </c>
      <c r="C15" s="4" t="inlineStr">
        <is>
          <t>Calculated</t>
        </is>
      </c>
      <c r="D15" s="4" t="inlineStr">
        <is>
          <t>Text</t>
        </is>
      </c>
      <c r="E15" s="4" t="inlineStr">
        <is>
          <t>Trade, Industry</t>
        </is>
      </c>
      <c r="F15" s="4" t="inlineStr">
        <is>
          <t>Flags whether this quarter's Inventory start equals the PREVIOUS selected quarter's Inventory end.</t>
        </is>
      </c>
      <c r="G15" s="4" t="inlineStr">
        <is>
          <t>Start equals previous end</t>
        </is>
      </c>
    </row>
    <row r="16" ht="20" customHeight="1">
      <c r="A16" s="2" t="inlineStr">
        <is>
          <t>Table 3 — Employee comparison (one row per selected quarter)</t>
        </is>
      </c>
      <c r="B16" s="3" t="n"/>
      <c r="C16" s="3" t="n"/>
      <c r="D16" s="3" t="n"/>
      <c r="E16" s="3" t="n"/>
      <c r="F16" s="3" t="n"/>
      <c r="G16" s="3" t="n"/>
    </row>
    <row r="17">
      <c r="A17" s="4" t="inlineStr">
        <is>
          <t>Employees</t>
        </is>
      </c>
      <c r="B17" s="4" t="inlineStr">
        <is>
          <t>Employee</t>
        </is>
      </c>
      <c r="C17" s="4" t="inlineStr">
        <is>
          <t>Financial input</t>
        </is>
      </c>
      <c r="D17" s="4" t="inlineStr">
        <is>
          <t>Number</t>
        </is>
      </c>
      <c r="E17" s="4" t="inlineStr">
        <is>
          <t>All</t>
        </is>
      </c>
      <c r="F17" s="4">
        <f> TOTAL_EMPLOYEES for that quarter.</f>
        <v/>
      </c>
      <c r="G17" s="4" t="inlineStr">
        <is>
          <t>12 / 13</t>
        </is>
      </c>
    </row>
    <row r="18">
      <c r="A18" s="5" t="inlineStr">
        <is>
          <t>Employee compensation</t>
        </is>
      </c>
      <c r="B18" s="5" t="inlineStr">
        <is>
          <t>Employee</t>
        </is>
      </c>
      <c r="C18" s="5" t="inlineStr">
        <is>
          <t>Financial input</t>
        </is>
      </c>
      <c r="D18" s="5" t="inlineStr">
        <is>
          <t>Number</t>
        </is>
      </c>
      <c r="E18" s="5" t="inlineStr">
        <is>
          <t>All</t>
        </is>
      </c>
      <c r="F18" s="5">
        <f> Employee_Salary for that quarter.</f>
        <v/>
      </c>
      <c r="G18" s="5" t="inlineStr">
        <is>
          <t>180,000 / 195,000</t>
        </is>
      </c>
    </row>
    <row r="19">
      <c r="A19" s="4" t="inlineStr">
        <is>
          <t>Average salary</t>
        </is>
      </c>
      <c r="B19" s="4" t="inlineStr">
        <is>
          <t>Employee</t>
        </is>
      </c>
      <c r="C19" s="4" t="inlineStr">
        <is>
          <t>Calculated</t>
        </is>
      </c>
      <c r="D19" s="4" t="inlineStr">
        <is>
          <t>Number</t>
        </is>
      </c>
      <c r="E19" s="4" t="inlineStr">
        <is>
          <t>All</t>
        </is>
      </c>
      <c r="F19" s="4">
        <f> Employee_Salary ÷ Employees ÷ 3.</f>
        <v/>
      </c>
      <c r="G19" s="4" t="inlineStr">
        <is>
          <t>5,000</t>
        </is>
      </c>
    </row>
    <row r="20">
      <c r="A20" s="5" t="inlineStr">
        <is>
          <t>Employee change count</t>
        </is>
      </c>
      <c r="B20" s="5" t="inlineStr">
        <is>
          <t>Employee</t>
        </is>
      </c>
      <c r="C20" s="5" t="inlineStr">
        <is>
          <t>Calculated</t>
        </is>
      </c>
      <c r="D20" s="5" t="inlineStr">
        <is>
          <t>Number</t>
        </is>
      </c>
      <c r="E20" s="5" t="inlineStr">
        <is>
          <t>All</t>
        </is>
      </c>
      <c r="F20" s="5">
        <f> Employees(this quarter) − Employees(previous quarter). First row shows 'Base period'.</f>
        <v/>
      </c>
      <c r="G20" s="5" t="inlineStr">
        <is>
          <t>+1</t>
        </is>
      </c>
    </row>
    <row r="21">
      <c r="A21" s="4" t="inlineStr">
        <is>
          <t>Employee change %</t>
        </is>
      </c>
      <c r="B21" s="4" t="inlineStr">
        <is>
          <t>Employee</t>
        </is>
      </c>
      <c r="C21" s="4" t="inlineStr">
        <is>
          <t>Calculated</t>
        </is>
      </c>
      <c r="D21" s="4" t="inlineStr">
        <is>
          <t>Percent</t>
        </is>
      </c>
      <c r="E21" s="4" t="inlineStr">
        <is>
          <t>All</t>
        </is>
      </c>
      <c r="F21" s="4">
        <f> Employee change count ÷ |previous quarter Employees| × 100.</f>
        <v/>
      </c>
      <c r="G21" s="4" t="inlineStr">
        <is>
          <t>8.3%</t>
        </is>
      </c>
    </row>
  </sheetData>
  <autoFilter ref="A1:G21"/>
  <mergeCells count="4">
    <mergeCell ref="A16:G16"/>
    <mergeCell ref="A2:G2"/>
    <mergeCell ref="A5:G5"/>
    <mergeCell ref="A12:G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2" customWidth="1" min="3" max="3"/>
    <col width="10" customWidth="1" min="4" max="4"/>
    <col width="24" customWidth="1" min="5" max="5"/>
    <col width="55" customWidth="1" min="6" max="6"/>
    <col width="16" customWidth="1" min="7" max="7"/>
  </cols>
  <sheetData>
    <row r="1" ht="28" customHeight="1">
      <c r="A1" s="1" t="inlineStr">
        <is>
          <t>Variable / Column name</t>
        </is>
      </c>
      <c r="B1" s="1" t="inlineStr">
        <is>
          <t>Category</t>
        </is>
      </c>
      <c r="C1" s="1" t="inlineStr">
        <is>
          <t>Required?</t>
        </is>
      </c>
      <c r="D1" s="1" t="inlineStr">
        <is>
          <t>Data type</t>
        </is>
      </c>
      <c r="E1" s="1" t="inlineStr">
        <is>
          <t>Applies to (business type)</t>
        </is>
      </c>
      <c r="F1" s="1" t="inlineStr">
        <is>
          <t>Description</t>
        </is>
      </c>
      <c r="G1" s="1" t="inlineStr">
        <is>
          <t>Example value</t>
        </is>
      </c>
    </row>
    <row r="2" ht="20" customHeight="1">
      <c r="A2" s="2" t="inlineStr">
        <is>
          <t>Identification &amp; assignment (one value per Frame ID, no quarter prefix)</t>
        </is>
      </c>
      <c r="B2" s="3" t="n"/>
      <c r="C2" s="3" t="n"/>
      <c r="D2" s="3" t="n"/>
      <c r="E2" s="3" t="n"/>
      <c r="F2" s="3" t="n"/>
      <c r="G2" s="3" t="n"/>
    </row>
    <row r="3">
      <c r="A3" s="4" t="inlineStr">
        <is>
          <t>FRAME_ID</t>
        </is>
      </c>
      <c r="B3" s="4" t="inlineStr">
        <is>
          <t>Identification</t>
        </is>
      </c>
      <c r="C3" s="4" t="inlineStr">
        <is>
          <t>Required</t>
        </is>
      </c>
      <c r="D3" s="4" t="inlineStr">
        <is>
          <t>Text</t>
        </is>
      </c>
      <c r="E3" s="4" t="inlineStr">
        <is>
          <t>All</t>
        </is>
      </c>
      <c r="F3" s="4" t="inlineStr">
        <is>
          <t>Unique establishment / project identifier. One row per Frame ID.</t>
        </is>
      </c>
      <c r="G3" s="4" t="inlineStr">
        <is>
          <t>F001</t>
        </is>
      </c>
    </row>
    <row r="4">
      <c r="A4" s="5" t="inlineStr">
        <is>
          <t>ESTABLISHMENT_NAME</t>
        </is>
      </c>
      <c r="B4" s="5" t="inlineStr">
        <is>
          <t>Identification</t>
        </is>
      </c>
      <c r="C4" s="5" t="inlineStr">
        <is>
          <t>Optional</t>
        </is>
      </c>
      <c r="D4" s="5" t="inlineStr">
        <is>
          <t>Text</t>
        </is>
      </c>
      <c r="E4" s="5" t="inlineStr">
        <is>
          <t>All</t>
        </is>
      </c>
      <c r="F4" s="5" t="inlineStr">
        <is>
          <t>Business / establishment name.</t>
        </is>
      </c>
      <c r="G4" s="5" t="inlineStr">
        <is>
          <t>Al Noor Trading LLC</t>
        </is>
      </c>
    </row>
    <row r="5">
      <c r="A5" s="4" t="inlineStr">
        <is>
          <t>AUDITOR_NAME_EN / AUDITOR_NAME_AR</t>
        </is>
      </c>
      <c r="B5" s="4" t="inlineStr">
        <is>
          <t>Assignment</t>
        </is>
      </c>
      <c r="C5" s="4" t="inlineStr">
        <is>
          <t>Optional</t>
        </is>
      </c>
      <c r="D5" s="4" t="inlineStr">
        <is>
          <t>Text</t>
        </is>
      </c>
      <c r="E5" s="4" t="inlineStr">
        <is>
          <t>All</t>
        </is>
      </c>
      <c r="F5" s="4" t="inlineStr">
        <is>
          <t>Auditor's display name.</t>
        </is>
      </c>
      <c r="G5" s="4" t="inlineStr">
        <is>
          <t>Fatima Auditor</t>
        </is>
      </c>
    </row>
    <row r="6">
      <c r="A6" s="5" t="inlineStr">
        <is>
          <t>Auditor_User_Name</t>
        </is>
      </c>
      <c r="B6" s="5" t="inlineStr">
        <is>
          <t>Assignment</t>
        </is>
      </c>
      <c r="C6" s="5" t="inlineStr">
        <is>
          <t>Required for Auditor role</t>
        </is>
      </c>
      <c r="D6" s="5" t="inlineStr">
        <is>
          <t>Text</t>
        </is>
      </c>
      <c r="E6" s="5" t="inlineStr">
        <is>
          <t>All</t>
        </is>
      </c>
      <c r="F6" s="5" t="inlineStr">
        <is>
          <t>Login username of the Auditor; drives row-level access, checked per quarter.</t>
        </is>
      </c>
      <c r="G6" s="5" t="inlineStr">
        <is>
          <t>auditor1</t>
        </is>
      </c>
    </row>
    <row r="7">
      <c r="A7" s="4" t="inlineStr">
        <is>
          <t>_ENUMERATOR_User_name</t>
        </is>
      </c>
      <c r="B7" s="4" t="inlineStr">
        <is>
          <t>Assignment</t>
        </is>
      </c>
      <c r="C7" s="4" t="inlineStr">
        <is>
          <t>Required for Enumerator role</t>
        </is>
      </c>
      <c r="D7" s="4" t="inlineStr">
        <is>
          <t>Text</t>
        </is>
      </c>
      <c r="E7" s="4" t="inlineStr">
        <is>
          <t>All</t>
        </is>
      </c>
      <c r="F7" s="4" t="inlineStr">
        <is>
          <t>Login username of the Enumerator / Key Account Manager.</t>
        </is>
      </c>
      <c r="G7" s="4" t="inlineStr">
        <is>
          <t>enum1</t>
        </is>
      </c>
    </row>
    <row r="8">
      <c r="A8" s="5" t="inlineStr">
        <is>
          <t>Supervisor_USER_Name</t>
        </is>
      </c>
      <c r="B8" s="5" t="inlineStr">
        <is>
          <t>Assignment</t>
        </is>
      </c>
      <c r="C8" s="5" t="inlineStr">
        <is>
          <t>Required for Supervisor role</t>
        </is>
      </c>
      <c r="D8" s="5" t="inlineStr">
        <is>
          <t>Text</t>
        </is>
      </c>
      <c r="E8" s="5" t="inlineStr">
        <is>
          <t>All</t>
        </is>
      </c>
      <c r="F8" s="5" t="inlineStr">
        <is>
          <t>Login username of the Supervisor.</t>
        </is>
      </c>
      <c r="G8" s="5" t="inlineStr">
        <is>
          <t>sup1</t>
        </is>
      </c>
    </row>
    <row r="9" ht="20" customHeight="1">
      <c r="A9" s="2" t="inlineStr">
        <is>
          <t>Per-quarter asset equation inputs — prefix each with the quarter, e.g. Q1_2026_Current_Assets</t>
        </is>
      </c>
      <c r="B9" s="3" t="n"/>
      <c r="C9" s="3" t="n"/>
      <c r="D9" s="3" t="n"/>
      <c r="E9" s="3" t="n"/>
      <c r="F9" s="3" t="n"/>
      <c r="G9" s="3" t="n"/>
    </row>
    <row r="10">
      <c r="A10" s="5" t="inlineStr">
        <is>
          <t>Current_Assets</t>
        </is>
      </c>
      <c r="B10" s="5" t="inlineStr">
        <is>
          <t>Financial input</t>
        </is>
      </c>
      <c r="C10" s="5" t="inlineStr">
        <is>
          <t>Required</t>
        </is>
      </c>
      <c r="D10" s="5" t="inlineStr">
        <is>
          <t>Number</t>
        </is>
      </c>
      <c r="E10" s="5" t="inlineStr">
        <is>
          <t>All</t>
        </is>
      </c>
      <c r="F10" s="5" t="inlineStr">
        <is>
          <t>Current assets value for the quarter.</t>
        </is>
      </c>
      <c r="G10" s="5" t="inlineStr">
        <is>
          <t>300,000</t>
        </is>
      </c>
    </row>
    <row r="11">
      <c r="A11" s="4" t="inlineStr">
        <is>
          <t>Non_Current_Assets</t>
        </is>
      </c>
      <c r="B11" s="4" t="inlineStr">
        <is>
          <t>Financial input</t>
        </is>
      </c>
      <c r="C11" s="4" t="inlineStr">
        <is>
          <t>Required</t>
        </is>
      </c>
      <c r="D11" s="4" t="inlineStr">
        <is>
          <t>Number</t>
        </is>
      </c>
      <c r="E11" s="4" t="inlineStr">
        <is>
          <t>All</t>
        </is>
      </c>
      <c r="F11" s="4" t="inlineStr">
        <is>
          <t>Non-current assets value for the quarter.</t>
        </is>
      </c>
      <c r="G11" s="4" t="inlineStr">
        <is>
          <t>500,000</t>
        </is>
      </c>
    </row>
    <row r="12">
      <c r="A12" s="5" t="inlineStr">
        <is>
          <t>Total_Assets</t>
        </is>
      </c>
      <c r="B12" s="5" t="inlineStr">
        <is>
          <t>Financial input (cross-check)</t>
        </is>
      </c>
      <c r="C12" s="5" t="inlineStr">
        <is>
          <t>Optional</t>
        </is>
      </c>
      <c r="D12" s="5" t="inlineStr">
        <is>
          <t>Number</t>
        </is>
      </c>
      <c r="E12" s="5" t="inlineStr">
        <is>
          <t>All</t>
        </is>
      </c>
      <c r="F12" s="5" t="inlineStr">
        <is>
          <t>Total assets as reported directly in the file; shown next to the calculated total for comparison, does not replace it.</t>
        </is>
      </c>
      <c r="G12" s="5" t="inlineStr">
        <is>
          <t>800,000</t>
        </is>
      </c>
    </row>
    <row r="13">
      <c r="A13" s="4" t="inlineStr">
        <is>
          <t>Current_Liabilities</t>
        </is>
      </c>
      <c r="B13" s="4" t="inlineStr">
        <is>
          <t>Financial input</t>
        </is>
      </c>
      <c r="C13" s="4" t="inlineStr">
        <is>
          <t>Required</t>
        </is>
      </c>
      <c r="D13" s="4" t="inlineStr">
        <is>
          <t>Number</t>
        </is>
      </c>
      <c r="E13" s="4" t="inlineStr">
        <is>
          <t>All</t>
        </is>
      </c>
      <c r="F13" s="4" t="inlineStr">
        <is>
          <t>Current liabilities value for the quarter.</t>
        </is>
      </c>
      <c r="G13" s="4" t="inlineStr">
        <is>
          <t>150,000</t>
        </is>
      </c>
    </row>
    <row r="14">
      <c r="A14" s="5" t="inlineStr">
        <is>
          <t>Non_Current_Liabilities</t>
        </is>
      </c>
      <c r="B14" s="5" t="inlineStr">
        <is>
          <t>Financial input</t>
        </is>
      </c>
      <c r="C14" s="5" t="inlineStr">
        <is>
          <t>Required</t>
        </is>
      </c>
      <c r="D14" s="5" t="inlineStr">
        <is>
          <t>Number</t>
        </is>
      </c>
      <c r="E14" s="5" t="inlineStr">
        <is>
          <t>All</t>
        </is>
      </c>
      <c r="F14" s="5" t="inlineStr">
        <is>
          <t>Non-current liabilities value for the quarter.</t>
        </is>
      </c>
      <c r="G14" s="5" t="inlineStr">
        <is>
          <t>200,000</t>
        </is>
      </c>
    </row>
    <row r="15">
      <c r="A15" s="4" t="inlineStr">
        <is>
          <t>Total_Liabilities</t>
        </is>
      </c>
      <c r="B15" s="4" t="inlineStr">
        <is>
          <t>Financial input (cross-check)</t>
        </is>
      </c>
      <c r="C15" s="4" t="inlineStr">
        <is>
          <t>Optional</t>
        </is>
      </c>
      <c r="D15" s="4" t="inlineStr">
        <is>
          <t>Number</t>
        </is>
      </c>
      <c r="E15" s="4" t="inlineStr">
        <is>
          <t>All</t>
        </is>
      </c>
      <c r="F15" s="4" t="inlineStr">
        <is>
          <t>Total liabilities as reported directly in the file; shown next to the calculated total for comparison.</t>
        </is>
      </c>
      <c r="G15" s="4" t="inlineStr">
        <is>
          <t>350,000</t>
        </is>
      </c>
    </row>
    <row r="16">
      <c r="A16" s="5" t="inlineStr">
        <is>
          <t>Equity_In_Form</t>
        </is>
      </c>
      <c r="B16" s="5" t="inlineStr">
        <is>
          <t>Financial input</t>
        </is>
      </c>
      <c r="C16" s="5" t="inlineStr">
        <is>
          <t>Required</t>
        </is>
      </c>
      <c r="D16" s="5" t="inlineStr">
        <is>
          <t>Number</t>
        </is>
      </c>
      <c r="E16" s="5" t="inlineStr">
        <is>
          <t>All</t>
        </is>
      </c>
      <c r="F16" s="5" t="inlineStr">
        <is>
          <t>Equity value as reported on the survey form; the anchor value everything else is checked against.</t>
        </is>
      </c>
      <c r="G16" s="5" t="inlineStr">
        <is>
          <t>450,000</t>
        </is>
      </c>
    </row>
    <row r="17">
      <c r="A17" s="4" t="inlineStr">
        <is>
          <t>Equity_Calculated</t>
        </is>
      </c>
      <c r="B17" s="4" t="inlineStr">
        <is>
          <t>Financial input (cross-check)</t>
        </is>
      </c>
      <c r="C17" s="4" t="inlineStr">
        <is>
          <t>Optional</t>
        </is>
      </c>
      <c r="D17" s="4" t="inlineStr">
        <is>
          <t>Number</t>
        </is>
      </c>
      <c r="E17" s="4" t="inlineStr">
        <is>
          <t>All</t>
        </is>
      </c>
      <c r="F17" s="4" t="inlineStr">
        <is>
          <t>The file's own calculated equity value, if supplied, shown next to the tool's calculated equity.</t>
        </is>
      </c>
      <c r="G17" s="4" t="inlineStr">
        <is>
          <t>450,000</t>
        </is>
      </c>
    </row>
    <row r="18">
      <c r="A18" s="5" t="inlineStr">
        <is>
          <t>Difference_In_Equation</t>
        </is>
      </c>
      <c r="B18" s="5" t="inlineStr">
        <is>
          <t>Financial input (cross-check)</t>
        </is>
      </c>
      <c r="C18" s="5" t="inlineStr">
        <is>
          <t>Optional</t>
        </is>
      </c>
      <c r="D18" s="5" t="inlineStr">
        <is>
          <t>Number</t>
        </is>
      </c>
      <c r="E18" s="5" t="inlineStr">
        <is>
          <t>All</t>
        </is>
      </c>
      <c r="F18" s="5" t="inlineStr">
        <is>
          <t>The file's own equation difference value, if supplied.</t>
        </is>
      </c>
      <c r="G18" s="5" t="inlineStr">
        <is>
          <t>0</t>
        </is>
      </c>
    </row>
    <row r="19">
      <c r="A19" s="4" t="inlineStr">
        <is>
          <t>Equity_7_1</t>
        </is>
      </c>
      <c r="B19" s="4" t="inlineStr">
        <is>
          <t>Financial input</t>
        </is>
      </c>
      <c r="C19" s="4" t="inlineStr">
        <is>
          <t>Required</t>
        </is>
      </c>
      <c r="D19" s="4" t="inlineStr">
        <is>
          <t>Number</t>
        </is>
      </c>
      <c r="E19" s="4" t="inlineStr">
        <is>
          <t>All</t>
        </is>
      </c>
      <c r="F19" s="4" t="inlineStr">
        <is>
          <t>Equity detail line 7.1 (e.g. paid-up capital).</t>
        </is>
      </c>
      <c r="G19" s="4" t="inlineStr">
        <is>
          <t>100,000</t>
        </is>
      </c>
    </row>
    <row r="20">
      <c r="A20" s="5" t="inlineStr">
        <is>
          <t>Equity_7_2</t>
        </is>
      </c>
      <c r="B20" s="5" t="inlineStr">
        <is>
          <t>Financial input</t>
        </is>
      </c>
      <c r="C20" s="5" t="inlineStr">
        <is>
          <t>Required</t>
        </is>
      </c>
      <c r="D20" s="5" t="inlineStr">
        <is>
          <t>Number</t>
        </is>
      </c>
      <c r="E20" s="5" t="inlineStr">
        <is>
          <t>All</t>
        </is>
      </c>
      <c r="F20" s="5" t="inlineStr">
        <is>
          <t>Equity detail line 7.2.</t>
        </is>
      </c>
      <c r="G20" s="5" t="inlineStr">
        <is>
          <t>200,000</t>
        </is>
      </c>
    </row>
    <row r="21">
      <c r="A21" s="4" t="inlineStr">
        <is>
          <t>Equity_7_3</t>
        </is>
      </c>
      <c r="B21" s="4" t="inlineStr">
        <is>
          <t>Financial input</t>
        </is>
      </c>
      <c r="C21" s="4" t="inlineStr">
        <is>
          <t>Required</t>
        </is>
      </c>
      <c r="D21" s="4" t="inlineStr">
        <is>
          <t>Number</t>
        </is>
      </c>
      <c r="E21" s="4" t="inlineStr">
        <is>
          <t>All</t>
        </is>
      </c>
      <c r="F21" s="4" t="inlineStr">
        <is>
          <t>Equity detail line 7.3.</t>
        </is>
      </c>
      <c r="G21" s="4" t="inlineStr">
        <is>
          <t>150,000</t>
        </is>
      </c>
    </row>
    <row r="22">
      <c r="A22" s="5" t="inlineStr">
        <is>
          <t>Equity_7_4</t>
        </is>
      </c>
      <c r="B22" s="5" t="inlineStr">
        <is>
          <t>Financial input</t>
        </is>
      </c>
      <c r="C22" s="5" t="inlineStr">
        <is>
          <t>Required</t>
        </is>
      </c>
      <c r="D22" s="5" t="inlineStr">
        <is>
          <t>Number</t>
        </is>
      </c>
      <c r="E22" s="5" t="inlineStr">
        <is>
          <t>All</t>
        </is>
      </c>
      <c r="F22" s="5" t="inlineStr">
        <is>
          <t>Equity detail line 7.4.</t>
        </is>
      </c>
      <c r="G22" s="5" t="inlineStr">
        <is>
          <t>0</t>
        </is>
      </c>
    </row>
    <row r="23">
      <c r="A23" s="4" t="inlineStr">
        <is>
          <t>Equity_7_5</t>
        </is>
      </c>
      <c r="B23" s="4" t="inlineStr">
        <is>
          <t>Financial input</t>
        </is>
      </c>
      <c r="C23" s="4" t="inlineStr">
        <is>
          <t>Required</t>
        </is>
      </c>
      <c r="D23" s="4" t="inlineStr">
        <is>
          <t>Number</t>
        </is>
      </c>
      <c r="E23" s="4" t="inlineStr">
        <is>
          <t>All</t>
        </is>
      </c>
      <c r="F23" s="4" t="inlineStr">
        <is>
          <t>Equity detail line 7.5.</t>
        </is>
      </c>
      <c r="G23" s="4" t="inlineStr">
        <is>
          <t>0</t>
        </is>
      </c>
    </row>
    <row r="24">
      <c r="A24" s="5" t="inlineStr">
        <is>
          <t>Equity_7_6</t>
        </is>
      </c>
      <c r="B24" s="5" t="inlineStr">
        <is>
          <t>Financial input</t>
        </is>
      </c>
      <c r="C24" s="5" t="inlineStr">
        <is>
          <t>Required</t>
        </is>
      </c>
      <c r="D24" s="5" t="inlineStr">
        <is>
          <t>Number</t>
        </is>
      </c>
      <c r="E24" s="5" t="inlineStr">
        <is>
          <t>All</t>
        </is>
      </c>
      <c r="F24" s="5" t="inlineStr">
        <is>
          <t>Equity detail line 7.6.</t>
        </is>
      </c>
      <c r="G24" s="5" t="inlineStr">
        <is>
          <t>0</t>
        </is>
      </c>
    </row>
    <row r="25" ht="20" customHeight="1">
      <c r="A25" s="2" t="inlineStr">
        <is>
          <t>Calculated outputs (produced by the tool — do not upload these)</t>
        </is>
      </c>
      <c r="B25" s="3" t="n"/>
      <c r="C25" s="3" t="n"/>
      <c r="D25" s="3" t="n"/>
      <c r="E25" s="3" t="n"/>
      <c r="F25" s="3" t="n"/>
      <c r="G25" s="3" t="n"/>
    </row>
    <row r="26">
      <c r="A26" s="5" t="inlineStr">
        <is>
          <t>Total Assets</t>
        </is>
      </c>
      <c r="B26" s="5" t="inlineStr">
        <is>
          <t>Calculated</t>
        </is>
      </c>
      <c r="C26" s="5" t="inlineStr">
        <is>
          <t>—</t>
        </is>
      </c>
      <c r="D26" s="5" t="inlineStr">
        <is>
          <t>Number</t>
        </is>
      </c>
      <c r="E26" s="5" t="inlineStr">
        <is>
          <t>All</t>
        </is>
      </c>
      <c r="F26" s="5">
        <f> Current_Assets + Non_Current_Assets.</f>
        <v/>
      </c>
      <c r="G26" s="5" t="inlineStr">
        <is>
          <t>800,000</t>
        </is>
      </c>
    </row>
    <row r="27">
      <c r="A27" s="4" t="inlineStr">
        <is>
          <t>Total Liabilities</t>
        </is>
      </c>
      <c r="B27" s="4" t="inlineStr">
        <is>
          <t>Calculated</t>
        </is>
      </c>
      <c r="C27" s="4" t="inlineStr">
        <is>
          <t>—</t>
        </is>
      </c>
      <c r="D27" s="4" t="inlineStr">
        <is>
          <t>Number</t>
        </is>
      </c>
      <c r="E27" s="4" t="inlineStr">
        <is>
          <t>All</t>
        </is>
      </c>
      <c r="F27" s="4">
        <f> Current_Liabilities + Non_Current_Liabilities.</f>
        <v/>
      </c>
      <c r="G27" s="4" t="inlineStr">
        <is>
          <t>350,000</t>
        </is>
      </c>
    </row>
    <row r="28">
      <c r="A28" s="5" t="inlineStr">
        <is>
          <t>Calculated Equity</t>
        </is>
      </c>
      <c r="B28" s="5" t="inlineStr">
        <is>
          <t>Calculated</t>
        </is>
      </c>
      <c r="C28" s="5" t="inlineStr">
        <is>
          <t>—</t>
        </is>
      </c>
      <c r="D28" s="5" t="inlineStr">
        <is>
          <t>Number</t>
        </is>
      </c>
      <c r="E28" s="5" t="inlineStr">
        <is>
          <t>All</t>
        </is>
      </c>
      <c r="F28" s="5">
        <f> Total Assets − Total Liabilities.</f>
        <v/>
      </c>
      <c r="G28" s="5" t="inlineStr">
        <is>
          <t>450,000</t>
        </is>
      </c>
    </row>
    <row r="29">
      <c r="A29" s="4" t="inlineStr">
        <is>
          <t>Equation Difference</t>
        </is>
      </c>
      <c r="B29" s="4" t="inlineStr">
        <is>
          <t>Calculated</t>
        </is>
      </c>
      <c r="C29" s="4" t="inlineStr">
        <is>
          <t>—</t>
        </is>
      </c>
      <c r="D29" s="4" t="inlineStr">
        <is>
          <t>Number</t>
        </is>
      </c>
      <c r="E29" s="4" t="inlineStr">
        <is>
          <t>All</t>
        </is>
      </c>
      <c r="F29" s="4">
        <f> Calculated Equity − Equity_In_Form. Should be ~0.</f>
        <v/>
      </c>
      <c r="G29" s="4" t="inlineStr">
        <is>
          <t>0</t>
        </is>
      </c>
    </row>
    <row r="30">
      <c r="A30" s="5" t="inlineStr">
        <is>
          <t>Equity Details Total</t>
        </is>
      </c>
      <c r="B30" s="5" t="inlineStr">
        <is>
          <t>Calculated</t>
        </is>
      </c>
      <c r="C30" s="5" t="inlineStr">
        <is>
          <t>—</t>
        </is>
      </c>
      <c r="D30" s="5" t="inlineStr">
        <is>
          <t>Number</t>
        </is>
      </c>
      <c r="E30" s="5" t="inlineStr">
        <is>
          <t>All</t>
        </is>
      </c>
      <c r="F30" s="5">
        <f> Equity_7_1 + 7_2 + 7_3 + 7_4 + 7_5 + 7_6.</f>
        <v/>
      </c>
      <c r="G30" s="5" t="inlineStr">
        <is>
          <t>450,000</t>
        </is>
      </c>
    </row>
    <row r="31">
      <c r="A31" s="4" t="inlineStr">
        <is>
          <t>Equity Details Difference</t>
        </is>
      </c>
      <c r="B31" s="4" t="inlineStr">
        <is>
          <t>Calculated</t>
        </is>
      </c>
      <c r="C31" s="4" t="inlineStr">
        <is>
          <t>—</t>
        </is>
      </c>
      <c r="D31" s="4" t="inlineStr">
        <is>
          <t>Number</t>
        </is>
      </c>
      <c r="E31" s="4" t="inlineStr">
        <is>
          <t>All</t>
        </is>
      </c>
      <c r="F31" s="4">
        <f> Equity Details Total − Equity_In_Form.</f>
        <v/>
      </c>
      <c r="G31" s="4" t="inlineStr">
        <is>
          <t>0</t>
        </is>
      </c>
    </row>
    <row r="32">
      <c r="A32" s="5" t="inlineStr">
        <is>
          <t>7.2 + 7.3 Total</t>
        </is>
      </c>
      <c r="B32" s="5" t="inlineStr">
        <is>
          <t>Calculated</t>
        </is>
      </c>
      <c r="C32" s="5" t="inlineStr">
        <is>
          <t>—</t>
        </is>
      </c>
      <c r="D32" s="5" t="inlineStr">
        <is>
          <t>Number</t>
        </is>
      </c>
      <c r="E32" s="5" t="inlineStr">
        <is>
          <t>All</t>
        </is>
      </c>
      <c r="F32" s="5">
        <f> Equity_7_2 + Equity_7_3.</f>
        <v/>
      </c>
      <c r="G32" s="5" t="inlineStr">
        <is>
          <t>350,000</t>
        </is>
      </c>
    </row>
    <row r="33">
      <c r="A33" s="4" t="inlineStr">
        <is>
          <t>7.2 + 7.3 Difference / Status</t>
        </is>
      </c>
      <c r="B33" s="4" t="inlineStr">
        <is>
          <t>Calculated</t>
        </is>
      </c>
      <c r="C33" s="4" t="inlineStr">
        <is>
          <t>—</t>
        </is>
      </c>
      <c r="D33" s="4" t="inlineStr">
        <is>
          <t>Number/Text</t>
        </is>
      </c>
      <c r="E33" s="4" t="inlineStr">
        <is>
          <t>All</t>
        </is>
      </c>
      <c r="F33" s="4">
        <f> (7.2+7.3) − Equity_In_Form; status 'Correct' if within 0.01, else 'Flag / review'.</f>
        <v/>
      </c>
      <c r="G33" s="4" t="inlineStr">
        <is>
          <t>Correct</t>
        </is>
      </c>
    </row>
    <row r="34">
      <c r="A34" s="5" t="inlineStr">
        <is>
          <t>Status</t>
        </is>
      </c>
      <c r="B34" s="5" t="inlineStr">
        <is>
          <t>Calculated</t>
        </is>
      </c>
      <c r="C34" s="5" t="inlineStr">
        <is>
          <t>—</t>
        </is>
      </c>
      <c r="D34" s="5" t="inlineStr">
        <is>
          <t>Text</t>
        </is>
      </c>
      <c r="E34" s="5" t="inlineStr">
        <is>
          <t>All</t>
        </is>
      </c>
      <c r="F34" s="5" t="inlineStr">
        <is>
          <t>'Balanced' if both the Equation Difference and the 7.2+7.3 check are within 0.01, else 'Needs review'.</t>
        </is>
      </c>
      <c r="G34" s="5" t="inlineStr">
        <is>
          <t>Balanced</t>
        </is>
      </c>
    </row>
  </sheetData>
  <autoFilter ref="A1:G34"/>
  <mergeCells count="3">
    <mergeCell ref="A2:G2"/>
    <mergeCell ref="A25:G25"/>
    <mergeCell ref="A9:G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2" customWidth="1" min="3" max="3"/>
    <col width="10" customWidth="1" min="4" max="4"/>
    <col width="24" customWidth="1" min="5" max="5"/>
    <col width="55" customWidth="1" min="6" max="6"/>
    <col width="16" customWidth="1" min="7" max="7"/>
  </cols>
  <sheetData>
    <row r="1" ht="28" customHeight="1">
      <c r="A1" s="1" t="inlineStr">
        <is>
          <t>Variable / Column name</t>
        </is>
      </c>
      <c r="B1" s="1" t="inlineStr">
        <is>
          <t>Category</t>
        </is>
      </c>
      <c r="C1" s="1" t="inlineStr">
        <is>
          <t>Required?</t>
        </is>
      </c>
      <c r="D1" s="1" t="inlineStr">
        <is>
          <t>Data type</t>
        </is>
      </c>
      <c r="E1" s="1" t="inlineStr">
        <is>
          <t>Applies to (business type)</t>
        </is>
      </c>
      <c r="F1" s="1" t="inlineStr">
        <is>
          <t>Description</t>
        </is>
      </c>
      <c r="G1" s="1" t="inlineStr">
        <is>
          <t>Example value</t>
        </is>
      </c>
    </row>
    <row r="2" ht="20" customHeight="1">
      <c r="A2" s="2" t="inlineStr">
        <is>
          <t>How comparison works</t>
        </is>
      </c>
      <c r="B2" s="3" t="n"/>
      <c r="C2" s="3" t="n"/>
      <c r="D2" s="3" t="n"/>
      <c r="E2" s="3" t="n"/>
      <c r="F2" s="3" t="n"/>
      <c r="G2" s="3" t="n"/>
    </row>
    <row r="3">
      <c r="A3" s="4" t="inlineStr">
        <is>
          <t>Frame ID</t>
        </is>
      </c>
      <c r="B3" s="4" t="inlineStr">
        <is>
          <t>Selection</t>
        </is>
      </c>
      <c r="C3" s="4" t="inlineStr">
        <is>
          <t>Required</t>
        </is>
      </c>
      <c r="D3" s="4" t="inlineStr">
        <is>
          <t>Text</t>
        </is>
      </c>
      <c r="E3" s="4" t="inlineStr">
        <is>
          <t>All</t>
        </is>
      </c>
      <c r="F3" s="4" t="inlineStr">
        <is>
          <t>One Frame ID is compared across 2 or more of its own quarters.</t>
        </is>
      </c>
      <c r="G3" s="4" t="inlineStr">
        <is>
          <t>F001</t>
        </is>
      </c>
    </row>
    <row r="4">
      <c r="A4" s="5" t="inlineStr">
        <is>
          <t>Selected periods</t>
        </is>
      </c>
      <c r="B4" s="5" t="inlineStr">
        <is>
          <t>Selection</t>
        </is>
      </c>
      <c r="C4" s="5" t="inlineStr">
        <is>
          <t>Required</t>
        </is>
      </c>
      <c r="D4" s="5" t="inlineStr">
        <is>
          <t>List</t>
        </is>
      </c>
      <c r="E4" s="5" t="inlineStr">
        <is>
          <t>All</t>
        </is>
      </c>
      <c r="F4" s="5" t="inlineStr">
        <is>
          <t>Every quarter present as Q#_YYYY_ prefixed columns for that Frame ID is selectable; pick 2+ to compare.</t>
        </is>
      </c>
      <c r="G4" s="5" t="inlineStr">
        <is>
          <t>Q1_2026, Q2_2026</t>
        </is>
      </c>
    </row>
    <row r="5" ht="20" customHeight="1">
      <c r="A5" s="2" t="inlineStr">
        <is>
          <t>Table 1 — Asset equation comparison (one row per selected quarter)</t>
        </is>
      </c>
      <c r="B5" s="3" t="n"/>
      <c r="C5" s="3" t="n"/>
      <c r="D5" s="3" t="n"/>
      <c r="E5" s="3" t="n"/>
      <c r="F5" s="3" t="n"/>
      <c r="G5" s="3" t="n"/>
    </row>
    <row r="6">
      <c r="A6" s="5" t="inlineStr">
        <is>
          <t>Current assets / Non-current assets / Total assets</t>
        </is>
      </c>
      <c r="B6" s="5" t="inlineStr">
        <is>
          <t>Asset equation</t>
        </is>
      </c>
      <c r="C6" s="5" t="inlineStr">
        <is>
          <t>Calculated</t>
        </is>
      </c>
      <c r="D6" s="5" t="inlineStr">
        <is>
          <t>Number</t>
        </is>
      </c>
      <c r="E6" s="5" t="inlineStr">
        <is>
          <t>All</t>
        </is>
      </c>
      <c r="F6" s="5" t="inlineStr">
        <is>
          <t>Same fields as the single-quarter calculation.</t>
        </is>
      </c>
      <c r="G6" s="5" t="inlineStr">
        <is>
          <t>300,000 / 500,000 / 800,000</t>
        </is>
      </c>
    </row>
    <row r="7">
      <c r="A7" s="4" t="inlineStr">
        <is>
          <t>Current liabilities / Non-current liabilities / Total liabilities</t>
        </is>
      </c>
      <c r="B7" s="4" t="inlineStr">
        <is>
          <t>Asset equation</t>
        </is>
      </c>
      <c r="C7" s="4" t="inlineStr">
        <is>
          <t>Calculated</t>
        </is>
      </c>
      <c r="D7" s="4" t="inlineStr">
        <is>
          <t>Number</t>
        </is>
      </c>
      <c r="E7" s="4" t="inlineStr">
        <is>
          <t>All</t>
        </is>
      </c>
      <c r="F7" s="4" t="inlineStr">
        <is>
          <t>Same fields as the single-quarter calculation.</t>
        </is>
      </c>
      <c r="G7" s="4" t="inlineStr">
        <is>
          <t>150,000 / 200,000 / 350,000</t>
        </is>
      </c>
    </row>
    <row r="8">
      <c r="A8" s="5" t="inlineStr">
        <is>
          <t>Calculated equity / Equity in form / Difference</t>
        </is>
      </c>
      <c r="B8" s="5" t="inlineStr">
        <is>
          <t>Asset equation</t>
        </is>
      </c>
      <c r="C8" s="5" t="inlineStr">
        <is>
          <t>Calculated</t>
        </is>
      </c>
      <c r="D8" s="5" t="inlineStr">
        <is>
          <t>Number</t>
        </is>
      </c>
      <c r="E8" s="5" t="inlineStr">
        <is>
          <t>All</t>
        </is>
      </c>
      <c r="F8" s="5" t="inlineStr">
        <is>
          <t>Same fields as the single-quarter calculation.</t>
        </is>
      </c>
      <c r="G8" s="5" t="inlineStr">
        <is>
          <t>450,000 / 450,000 / 0</t>
        </is>
      </c>
    </row>
    <row r="9" ht="20" customHeight="1">
      <c r="A9" s="2" t="inlineStr">
        <is>
          <t>Table 2 — Equity details comparison (one row per selected quarter)</t>
        </is>
      </c>
      <c r="B9" s="3" t="n"/>
      <c r="C9" s="3" t="n"/>
      <c r="D9" s="3" t="n"/>
      <c r="E9" s="3" t="n"/>
      <c r="F9" s="3" t="n"/>
      <c r="G9" s="3" t="n"/>
    </row>
    <row r="10">
      <c r="A10" s="5" t="inlineStr">
        <is>
          <t>7.1 .. 7.6</t>
        </is>
      </c>
      <c r="B10" s="5" t="inlineStr">
        <is>
          <t>Equity details</t>
        </is>
      </c>
      <c r="C10" s="5" t="inlineStr">
        <is>
          <t>Financial input</t>
        </is>
      </c>
      <c r="D10" s="5" t="inlineStr">
        <is>
          <t>Number</t>
        </is>
      </c>
      <c r="E10" s="5" t="inlineStr">
        <is>
          <t>All</t>
        </is>
      </c>
      <c r="F10" s="5" t="inlineStr">
        <is>
          <t>The six equity detail lines for that quarter.</t>
        </is>
      </c>
      <c r="G10" s="5" t="inlineStr">
        <is>
          <t>100,000 / 200,000 / ...</t>
        </is>
      </c>
    </row>
    <row r="11">
      <c r="A11" s="4" t="inlineStr">
        <is>
          <t>Total / 7.2+7.3 / Equity in form / Diff / Status</t>
        </is>
      </c>
      <c r="B11" s="4" t="inlineStr">
        <is>
          <t>Equity details</t>
        </is>
      </c>
      <c r="C11" s="4" t="inlineStr">
        <is>
          <t>Calculated</t>
        </is>
      </c>
      <c r="D11" s="4" t="inlineStr">
        <is>
          <t>Number/Text</t>
        </is>
      </c>
      <c r="E11" s="4" t="inlineStr">
        <is>
          <t>All</t>
        </is>
      </c>
      <c r="F11" s="4" t="inlineStr">
        <is>
          <t>Same checks as the single-quarter calculation.</t>
        </is>
      </c>
      <c r="G11" s="4" t="inlineStr">
        <is>
          <t>450,000 / 350,000 / 450,000 / 0 / Correct</t>
        </is>
      </c>
    </row>
    <row r="12" ht="20" customHeight="1">
      <c r="A12" s="2" t="inlineStr">
        <is>
          <t>Table 3 — Validation (one row per selected quarter)</t>
        </is>
      </c>
      <c r="B12" s="3" t="n"/>
      <c r="C12" s="3" t="n"/>
      <c r="D12" s="3" t="n"/>
      <c r="E12" s="3" t="n"/>
      <c r="F12" s="3" t="n"/>
      <c r="G12" s="3" t="n"/>
    </row>
    <row r="13">
      <c r="A13" s="4" t="inlineStr">
        <is>
          <t>Assets: file vs calculated</t>
        </is>
      </c>
      <c r="B13" s="4" t="inlineStr">
        <is>
          <t>Validation</t>
        </is>
      </c>
      <c r="C13" s="4" t="inlineStr">
        <is>
          <t>Calculated</t>
        </is>
      </c>
      <c r="D13" s="4" t="inlineStr">
        <is>
          <t>Text</t>
        </is>
      </c>
      <c r="E13" s="4" t="inlineStr">
        <is>
          <t>All</t>
        </is>
      </c>
      <c r="F13" s="4" t="inlineStr">
        <is>
          <t>Shows Total_Assets (file) / Total Assets (calculated) side by side when a file value was supplied.</t>
        </is>
      </c>
      <c r="G13" s="4" t="inlineStr">
        <is>
          <t>800,000 / 800,000</t>
        </is>
      </c>
    </row>
    <row r="14">
      <c r="A14" s="5" t="inlineStr">
        <is>
          <t>Liabilities: file vs calculated</t>
        </is>
      </c>
      <c r="B14" s="5" t="inlineStr">
        <is>
          <t>Validation</t>
        </is>
      </c>
      <c r="C14" s="5" t="inlineStr">
        <is>
          <t>Calculated</t>
        </is>
      </c>
      <c r="D14" s="5" t="inlineStr">
        <is>
          <t>Text</t>
        </is>
      </c>
      <c r="E14" s="5" t="inlineStr">
        <is>
          <t>All</t>
        </is>
      </c>
      <c r="F14" s="5" t="inlineStr">
        <is>
          <t>Shows Total_Liabilities (file) / Total Liabilities (calculated) side by side when a file value was supplied.</t>
        </is>
      </c>
      <c r="G14" s="5" t="inlineStr">
        <is>
          <t>350,000 / 350,000</t>
        </is>
      </c>
    </row>
    <row r="15">
      <c r="A15" s="4" t="inlineStr">
        <is>
          <t>Equation difference / Status</t>
        </is>
      </c>
      <c r="B15" s="4" t="inlineStr">
        <is>
          <t>Validation</t>
        </is>
      </c>
      <c r="C15" s="4" t="inlineStr">
        <is>
          <t>Calculated</t>
        </is>
      </c>
      <c r="D15" s="4" t="inlineStr">
        <is>
          <t>Number/Text</t>
        </is>
      </c>
      <c r="E15" s="4" t="inlineStr">
        <is>
          <t>All</t>
        </is>
      </c>
      <c r="F15" s="4" t="inlineStr">
        <is>
          <t>Repeats the equation difference and overall Balanced / Needs review status.</t>
        </is>
      </c>
      <c r="G15" s="4" t="inlineStr">
        <is>
          <t>0 / Balanced</t>
        </is>
      </c>
    </row>
  </sheetData>
  <autoFilter ref="A1:G15"/>
  <mergeCells count="4">
    <mergeCell ref="A12:G12"/>
    <mergeCell ref="A2:G2"/>
    <mergeCell ref="A5:G5"/>
    <mergeCell ref="A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2026-07-29T05:30:04Z</dcterms:created>
  <dcterms:modified xsi:type="dcterms:W3CDTF">2026-07-29T05:30:04Z</dcterms:modified>
</cp:coreProperties>
</file>